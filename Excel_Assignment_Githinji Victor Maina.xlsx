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8_{B8C945B8-B290-4825-B535-0763C69679DF}" xr6:coauthVersionLast="47" xr6:coauthVersionMax="47" xr10:uidLastSave="{00000000-0000-0000-0000-000000000000}"/>
  <bookViews>
    <workbookView xWindow="-120" yWindow="-120" windowWidth="29040" windowHeight="16440" xr2:uid="{00000000-000D-0000-FFFF-FFFF00000000}"/>
  </bookViews>
  <sheets>
    <sheet name="ReadMe" sheetId="8" r:id="rId1"/>
    <sheet name="Data" sheetId="1" r:id="rId2"/>
    <sheet name="DashBoard Calculations" sheetId="4" r:id="rId3"/>
    <sheet name="Final Dashboard" sheetId="5" r:id="rId4"/>
    <sheet name="Brief" sheetId="2" r:id="rId5"/>
  </sheets>
  <definedNames>
    <definedName name="Slicer_Month">#N/A</definedName>
    <definedName name="Slicer_Region">#N/A</definedName>
    <definedName name="Slicer_SKU">#N/A</definedName>
  </definedNames>
  <calcPr calcId="191029"/>
  <pivotCaches>
    <pivotCache cacheId="1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B633"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C2" i="1"/>
  <c r="AB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2" i="1"/>
</calcChain>
</file>

<file path=xl/sharedStrings.xml><?xml version="1.0" encoding="utf-8"?>
<sst xmlns="http://schemas.openxmlformats.org/spreadsheetml/2006/main" count="5862" uniqueCount="1474">
  <si>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</si>
  <si>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</si>
  <si>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</si>
  <si>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</si>
  <si>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</si>
  <si>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</si>
  <si>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</si>
  <si>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</si>
  <si>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</si>
  <si>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</si>
  <si>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</si>
  <si>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</si>
  <si>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</si>
  <si>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</si>
  <si>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</si>
  <si>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</si>
  <si>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</si>
  <si>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</si>
  <si>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</si>
  <si>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</si>
  <si>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</si>
  <si>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</si>
  <si>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</si>
  <si>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</si>
  <si>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</si>
  <si>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</si>
  <si>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</si>
  <si>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</si>
  <si>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</si>
  <si>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</si>
  <si>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</si>
  <si>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</si>
  <si>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</si>
  <si>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</si>
  <si>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</si>
  <si>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</si>
  <si>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</si>
  <si>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</si>
  <si>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</si>
  <si>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</si>
  <si>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</si>
  <si>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</si>
  <si>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</si>
  <si>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</si>
  <si>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</si>
  <si>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</si>
  <si>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</si>
  <si>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</si>
  <si>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</si>
  <si>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</si>
  <si>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</si>
  <si>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</si>
  <si>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</si>
  <si>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</si>
  <si>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</si>
  <si>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</si>
  <si>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</si>
  <si>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</si>
  <si>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</si>
  <si>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</si>
  <si>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</si>
  <si>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</si>
  <si>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</si>
  <si>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</si>
  <si>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</si>
  <si>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</si>
  <si>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</si>
  <si>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</si>
  <si>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</si>
  <si>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</si>
  <si>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</si>
  <si>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</si>
  <si>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</si>
  <si>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</si>
  <si>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</si>
  <si>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</si>
  <si>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</si>
  <si>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</si>
  <si>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</si>
  <si>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</si>
  <si>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</si>
  <si>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</si>
  <si>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</si>
  <si>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</si>
  <si>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</si>
  <si>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</si>
  <si>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</si>
  <si>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</si>
  <si>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</si>
  <si>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</si>
  <si>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</si>
  <si>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</si>
  <si>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</si>
  <si>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</si>
  <si>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</si>
  <si>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</si>
  <si>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</si>
  <si>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</si>
  <si>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</si>
  <si>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</si>
  <si>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</si>
  <si>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</si>
  <si>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</si>
  <si>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</si>
  <si>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</si>
  <si>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</si>
  <si>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</si>
  <si>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</si>
  <si>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</si>
  <si>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</si>
  <si>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</si>
  <si>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</si>
  <si>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</si>
  <si>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</si>
  <si>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</si>
  <si>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</si>
  <si>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</si>
  <si>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</si>
  <si>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</si>
  <si>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</si>
  <si>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</si>
  <si>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</si>
  <si>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</si>
  <si>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</si>
  <si>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</si>
  <si>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</si>
  <si>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</si>
  <si>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</si>
  <si>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</si>
  <si>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</si>
  <si>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</si>
  <si>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</si>
  <si>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</si>
  <si>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</si>
  <si>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</si>
  <si>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</si>
  <si>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</si>
  <si>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</si>
  <si>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</si>
  <si>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</si>
  <si>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</si>
  <si>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</si>
  <si>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</si>
  <si>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</si>
  <si>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</si>
  <si>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</si>
  <si>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</si>
  <si>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</si>
  <si>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</si>
  <si>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</si>
  <si>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</si>
  <si>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</si>
  <si>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</si>
  <si>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</si>
  <si>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</si>
  <si>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</si>
  <si>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</si>
  <si>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</si>
  <si>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</si>
  <si>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</si>
  <si>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</si>
  <si>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</si>
  <si>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</si>
  <si>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</si>
  <si>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</si>
  <si>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</si>
  <si>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</si>
  <si>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</si>
  <si>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</si>
  <si>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</si>
  <si>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</si>
  <si>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</si>
  <si>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</si>
  <si>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</si>
  <si>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</si>
  <si>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</si>
  <si>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</si>
  <si>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</si>
  <si>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</si>
  <si>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</si>
  <si>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</si>
  <si>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</si>
  <si>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</si>
  <si>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</si>
  <si>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</si>
  <si>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</si>
  <si>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</si>
  <si>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</si>
  <si>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</si>
  <si>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</si>
  <si>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</si>
  <si>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</si>
  <si>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</si>
  <si>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</si>
  <si>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</si>
  <si>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</si>
  <si>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</si>
  <si>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</si>
  <si>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</si>
  <si>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</si>
  <si>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</si>
  <si>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</si>
  <si>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</si>
  <si>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</si>
  <si>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</si>
  <si>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</si>
  <si>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</si>
  <si>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</si>
  <si>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</si>
  <si>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</si>
  <si>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</si>
  <si>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</si>
  <si>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</si>
  <si>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</si>
  <si>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</si>
  <si>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</si>
  <si>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</si>
  <si>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</si>
  <si>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</si>
  <si>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</si>
  <si>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</si>
  <si>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</si>
  <si>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</si>
  <si>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</si>
  <si>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</si>
  <si>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</si>
  <si>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</si>
  <si>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</si>
  <si>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</si>
  <si>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</si>
  <si>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</si>
  <si>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</si>
  <si>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</si>
  <si>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</si>
  <si>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</si>
  <si>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</si>
  <si>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</si>
  <si>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</si>
  <si>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</si>
  <si>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</si>
  <si>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</si>
  <si>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</si>
  <si>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</si>
  <si>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</si>
  <si>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</si>
  <si>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</si>
  <si>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</si>
  <si>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</si>
  <si>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</si>
  <si>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</si>
  <si>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</si>
  <si>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</si>
  <si>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</si>
  <si>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</si>
  <si>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</si>
  <si>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</si>
  <si>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</si>
  <si>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</si>
  <si>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</si>
  <si>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</si>
  <si>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</si>
  <si>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</si>
  <si>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</si>
  <si>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</si>
  <si>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</si>
  <si>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</si>
  <si>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</si>
  <si>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</si>
  <si>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</si>
  <si>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</si>
  <si>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</si>
  <si>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</si>
  <si>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</si>
  <si>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</si>
  <si>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</si>
  <si>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</si>
  <si>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</si>
  <si>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</si>
  <si>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</si>
  <si>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</si>
  <si>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</si>
  <si>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</si>
  <si>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</si>
  <si>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</si>
  <si>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</si>
  <si>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</si>
  <si>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</si>
  <si>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</si>
  <si>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</si>
  <si>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</si>
  <si>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</si>
  <si>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</si>
  <si>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</si>
  <si>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</si>
  <si>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</si>
  <si>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</si>
  <si>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</si>
  <si>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</si>
  <si>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</si>
  <si>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</si>
  <si>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</si>
  <si>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</si>
  <si>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</si>
  <si>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</si>
  <si>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</si>
  <si>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</si>
  <si>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</si>
  <si>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</si>
  <si>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</si>
  <si>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</si>
  <si>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</si>
  <si>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</si>
  <si>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</si>
  <si>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</si>
  <si>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</si>
  <si>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</si>
  <si>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</si>
  <si>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</si>
  <si>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</si>
  <si>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</si>
  <si>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</si>
  <si>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</si>
  <si>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</si>
  <si>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</si>
  <si>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</si>
  <si>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</si>
  <si>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</si>
  <si>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</si>
  <si>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</si>
  <si>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</si>
  <si>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</si>
  <si>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</si>
  <si>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</si>
  <si>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</si>
  <si>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</si>
  <si>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</si>
  <si>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</si>
  <si>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</si>
  <si>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</si>
  <si>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</si>
  <si>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</si>
  <si>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</si>
  <si>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</si>
  <si>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</si>
  <si>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</si>
  <si>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</si>
  <si>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</si>
  <si>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</si>
  <si>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</si>
  <si>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</si>
  <si>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</si>
  <si>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</si>
  <si>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</si>
  <si>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</si>
  <si>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</si>
  <si>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</si>
  <si>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</si>
  <si>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</si>
  <si>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</si>
  <si>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</si>
  <si>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</si>
  <si>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</si>
  <si>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</si>
  <si>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</si>
  <si>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</si>
  <si>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</si>
  <si>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</si>
  <si>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</si>
  <si>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</si>
  <si>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</si>
  <si>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</si>
  <si>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</si>
  <si>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</si>
  <si>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</si>
  <si>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</si>
  <si>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</si>
  <si>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</si>
  <si>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</si>
  <si>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</si>
  <si>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</si>
  <si>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</si>
  <si>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</si>
  <si>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</si>
  <si>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</si>
  <si>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</si>
  <si>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</si>
  <si>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</si>
  <si>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</si>
  <si>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</si>
  <si>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</si>
  <si>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</si>
  <si>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</si>
  <si>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</si>
  <si>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</si>
  <si>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</si>
  <si>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</si>
  <si>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</si>
  <si>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</si>
  <si>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</si>
  <si>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</si>
  <si>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</si>
  <si>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</si>
  <si>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</si>
  <si>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</si>
  <si>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</si>
  <si>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</si>
  <si>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</si>
  <si>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</si>
  <si>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</si>
  <si>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</si>
  <si>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</si>
  <si>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</si>
  <si>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</si>
  <si>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</si>
  <si>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</si>
  <si>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</si>
  <si>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</si>
  <si>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</si>
  <si>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</si>
  <si>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</si>
  <si>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</si>
  <si>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</si>
  <si>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</si>
  <si>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</si>
  <si>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</si>
  <si>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</si>
  <si>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</si>
  <si>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</si>
  <si>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</si>
  <si>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</si>
  <si>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</si>
  <si>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</si>
  <si>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</si>
  <si>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</si>
  <si>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</si>
  <si>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</si>
  <si>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</si>
  <si>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</si>
  <si>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</si>
  <si>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</si>
  <si>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</si>
  <si>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</si>
  <si>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</si>
  <si>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</si>
  <si>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</si>
  <si>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</si>
  <si>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</si>
  <si>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</si>
  <si>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</si>
  <si>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</si>
  <si>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</si>
  <si>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</si>
  <si>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</si>
  <si>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</si>
  <si>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</si>
  <si>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</si>
  <si>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</si>
  <si>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</si>
  <si>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</si>
  <si>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</si>
  <si>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</si>
  <si>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</si>
  <si>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</si>
  <si>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</si>
  <si>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</si>
  <si>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</si>
  <si>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</si>
  <si>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</si>
  <si>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</si>
  <si>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</si>
  <si>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</si>
  <si>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</si>
  <si>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</si>
  <si>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</si>
  <si>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</si>
  <si>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</si>
  <si>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</si>
  <si>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</si>
  <si>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</si>
  <si>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</si>
  <si>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</si>
  <si>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</si>
  <si>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</si>
  <si>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</si>
  <si>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</si>
  <si>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</si>
  <si>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</si>
  <si>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</si>
  <si>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</si>
  <si>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</si>
  <si>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</si>
  <si>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</si>
  <si>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</si>
  <si>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</si>
  <si>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</si>
  <si>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</si>
  <si>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</si>
  <si>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</si>
  <si>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</si>
  <si>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</si>
  <si>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</si>
  <si>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</si>
  <si>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</si>
  <si>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</si>
  <si>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</si>
  <si>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</si>
  <si>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</si>
  <si>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</si>
  <si>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</si>
  <si>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</si>
  <si>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</si>
  <si>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</si>
  <si>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</si>
  <si>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</si>
  <si>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</si>
  <si>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</si>
  <si>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</si>
  <si>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</si>
  <si>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</si>
  <si>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</si>
  <si>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</si>
  <si>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</si>
  <si>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</si>
  <si>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</si>
  <si>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</si>
  <si>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</si>
  <si>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</si>
  <si>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</si>
  <si>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</si>
  <si>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</si>
  <si>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</si>
  <si>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</si>
  <si>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</si>
  <si>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</si>
  <si>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</si>
  <si>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</si>
  <si>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</si>
  <si>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</si>
  <si>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</si>
  <si>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</si>
  <si>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</si>
  <si>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</si>
  <si>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</si>
  <si>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</si>
  <si>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</si>
  <si>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</si>
  <si>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</si>
  <si>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</si>
  <si>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</si>
  <si>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</si>
  <si>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</si>
  <si>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</si>
  <si>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</si>
  <si>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</si>
  <si>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</si>
  <si>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</si>
  <si>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</si>
  <si>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</si>
  <si>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</si>
  <si>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</si>
  <si>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</si>
  <si>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</si>
  <si>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</si>
  <si>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</si>
  <si>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</si>
  <si>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</si>
  <si>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</si>
  <si>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</si>
  <si>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</si>
  <si>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</si>
  <si>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</si>
  <si>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</si>
  <si>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</si>
  <si>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</si>
  <si>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</si>
  <si>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</si>
  <si>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</si>
  <si>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</si>
  <si>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</si>
  <si>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</si>
  <si>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</si>
  <si>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</si>
  <si>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</si>
  <si>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</si>
  <si>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</si>
  <si>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</si>
  <si>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</si>
  <si>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</si>
  <si>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</si>
  <si>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</si>
  <si>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</si>
  <si>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</si>
  <si>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</si>
  <si>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</si>
  <si>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</si>
  <si>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</si>
  <si>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</si>
  <si>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</si>
  <si>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</si>
  <si>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</si>
  <si>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</si>
  <si>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</si>
  <si>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</si>
  <si>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</si>
  <si>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</si>
  <si>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</si>
  <si>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</si>
  <si>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</si>
  <si>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</si>
  <si>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</si>
  <si>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</si>
  <si>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</si>
  <si>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</si>
  <si>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</si>
  <si>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</si>
  <si>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</si>
  <si>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</si>
  <si>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</si>
  <si>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</si>
  <si>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</si>
  <si>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</si>
  <si>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</si>
  <si>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</si>
  <si>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</si>
  <si>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</si>
  <si>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</si>
  <si>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</si>
  <si>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</si>
  <si>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</si>
  <si>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</si>
  <si>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</si>
  <si>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</si>
  <si>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</si>
  <si>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</si>
  <si>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</si>
  <si>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</si>
  <si>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</si>
  <si>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</si>
  <si>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</si>
  <si>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</si>
  <si>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</si>
  <si>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</si>
  <si>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</si>
  <si>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</si>
  <si>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</si>
  <si>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</si>
  <si>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</si>
  <si>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</si>
  <si>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</si>
  <si>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</si>
  <si>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</si>
  <si>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</si>
  <si>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</si>
  <si>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</si>
  <si>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</si>
  <si>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</si>
  <si>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</si>
  <si>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</si>
  <si>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</si>
  <si>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</si>
  <si>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</si>
  <si>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</si>
  <si>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</si>
  <si>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</si>
  <si>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</si>
  <si>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</si>
  <si>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</si>
  <si>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</si>
  <si>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</si>
  <si>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</si>
  <si>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</si>
  <si>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</si>
  <si>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</si>
  <si>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</si>
  <si>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</si>
  <si>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</si>
  <si>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</si>
  <si>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</si>
  <si>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</si>
  <si>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</si>
  <si>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</si>
  <si>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</si>
  <si>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</si>
  <si>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</si>
  <si>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</si>
  <si>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</si>
  <si>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</si>
  <si>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</si>
  <si>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</si>
  <si>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</si>
  <si>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</si>
  <si>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</si>
  <si>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</si>
  <si>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</si>
  <si>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</si>
  <si>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</si>
  <si>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</si>
  <si>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</si>
  <si>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</si>
  <si>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</si>
  <si>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</si>
  <si>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</si>
  <si>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</si>
  <si>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</si>
  <si>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</si>
  <si>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</si>
  <si>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</si>
  <si>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</si>
  <si>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</si>
  <si>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</si>
  <si>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</si>
  <si>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</si>
  <si>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</si>
  <si>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</si>
  <si>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</si>
  <si>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</si>
  <si>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</si>
  <si>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</si>
  <si>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</si>
  <si>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</si>
  <si>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</si>
  <si>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</si>
  <si>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</si>
  <si>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</si>
  <si>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</si>
  <si>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</si>
  <si>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</si>
  <si>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</si>
  <si>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</si>
  <si>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</si>
  <si>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</si>
  <si>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</si>
  <si>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</si>
  <si>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</si>
  <si>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</si>
  <si>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</si>
  <si>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</si>
  <si>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</si>
  <si>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</si>
  <si>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</si>
  <si>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</si>
  <si>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</si>
  <si>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</si>
  <si>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</si>
  <si>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</si>
  <si>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</si>
  <si>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</si>
  <si>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</si>
  <si>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</si>
  <si>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</si>
  <si>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</si>
  <si>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</si>
  <si>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</si>
  <si>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</si>
  <si>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</si>
  <si>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</si>
  <si>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</si>
  <si>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</si>
  <si>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</si>
  <si>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</si>
  <si>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</si>
  <si>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</si>
  <si>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</si>
  <si>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</si>
  <si>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</si>
  <si>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</si>
  <si>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</si>
  <si>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</si>
  <si>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</si>
  <si>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</si>
  <si>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</si>
  <si>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</si>
  <si>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</si>
  <si>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</si>
  <si>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</si>
  <si>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</si>
  <si>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</si>
  <si>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</si>
  <si>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</si>
  <si>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</si>
  <si>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</si>
  <si>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</si>
  <si>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</si>
  <si>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</si>
  <si>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</si>
  <si>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</si>
  <si>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</si>
  <si>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</si>
  <si>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</si>
  <si>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</si>
  <si>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</si>
  <si>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</si>
  <si>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</si>
  <si>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</si>
  <si>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</si>
  <si>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</si>
  <si>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</si>
  <si>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</si>
  <si>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</si>
  <si>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</si>
  <si>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</si>
  <si>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</si>
  <si>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</si>
  <si>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</si>
  <si>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</si>
  <si>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</si>
  <si>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</si>
  <si>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</si>
  <si>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</si>
  <si>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</si>
  <si>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</si>
  <si>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</si>
  <si>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</si>
  <si>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</si>
  <si>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</si>
  <si>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</si>
  <si>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</si>
  <si>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</si>
  <si>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</si>
  <si>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</si>
  <si>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</si>
  <si>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</si>
  <si>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</si>
  <si>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</si>
  <si>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</si>
  <si>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</si>
  <si>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</si>
  <si>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</si>
  <si>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</si>
  <si>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</si>
  <si>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</si>
  <si>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</si>
  <si>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</si>
  <si>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</si>
  <si>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</si>
  <si>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</si>
  <si>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</si>
  <si>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</si>
  <si>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</si>
  <si>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</si>
  <si>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</si>
  <si>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</si>
  <si>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</si>
  <si>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</si>
  <si>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</si>
  <si>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</si>
  <si>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</si>
  <si>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</si>
  <si>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</si>
  <si>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</si>
  <si>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</si>
  <si>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</si>
  <si>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</si>
  <si>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</si>
  <si>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</si>
  <si>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</si>
  <si>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</si>
  <si>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</si>
  <si>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</si>
  <si>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</si>
  <si>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</si>
  <si>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</si>
  <si>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</si>
  <si>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</si>
  <si>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</si>
  <si>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</si>
  <si>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</si>
  <si>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</si>
  <si>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</si>
  <si>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</si>
  <si>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</si>
  <si>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</si>
  <si>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</si>
  <si>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</si>
  <si>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</si>
  <si>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</si>
  <si>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</si>
  <si>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</si>
  <si>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</si>
  <si>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</si>
  <si>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</si>
  <si>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</si>
  <si>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</si>
  <si>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</si>
  <si>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</si>
  <si>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</si>
  <si>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</si>
  <si>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</si>
  <si>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</si>
  <si>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</si>
  <si>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</si>
  <si>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</si>
  <si>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</si>
  <si>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</si>
  <si>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</si>
  <si>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</si>
  <si>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</si>
  <si>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</si>
  <si>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</si>
  <si>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</si>
  <si>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</si>
  <si>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</si>
  <si>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</si>
  <si>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</si>
  <si>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</si>
  <si>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</si>
  <si>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</si>
  <si>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</si>
  <si>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</si>
  <si>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</si>
  <si>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</si>
  <si>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</si>
  <si>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</si>
  <si>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</si>
  <si>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</si>
  <si>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</si>
  <si>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</si>
  <si>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</si>
  <si>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</si>
  <si>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</si>
  <si>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</si>
  <si>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</si>
  <si>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</si>
  <si>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</si>
  <si>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</si>
  <si>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</si>
  <si>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</si>
  <si>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</si>
  <si>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</si>
  <si>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</si>
  <si>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</si>
  <si>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</si>
  <si>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</si>
  <si>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</si>
  <si>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</si>
  <si>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</si>
  <si>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</si>
  <si>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</si>
  <si>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</si>
  <si>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</si>
  <si>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</si>
  <si>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</si>
  <si>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</si>
  <si>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</si>
  <si>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</si>
  <si>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</si>
  <si>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</si>
  <si>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</si>
  <si>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</si>
  <si>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</si>
  <si>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</si>
  <si>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</si>
  <si>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</si>
  <si>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</si>
  <si>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</si>
  <si>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</si>
  <si>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</si>
  <si>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</si>
  <si>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</si>
  <si>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</si>
  <si>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</si>
  <si>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</si>
  <si>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</si>
  <si>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</si>
  <si>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</si>
  <si>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</si>
  <si>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</si>
  <si>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</si>
  <si>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</si>
  <si>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</si>
  <si>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</si>
  <si>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</si>
  <si>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</si>
  <si>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</si>
  <si>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</si>
  <si>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</si>
  <si>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</si>
  <si>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</si>
  <si>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</si>
  <si>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</si>
  <si>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</si>
  <si>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</si>
  <si>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</si>
  <si>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</si>
  <si>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</si>
  <si>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</si>
  <si>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</si>
  <si>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</si>
  <si>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</si>
  <si>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</si>
  <si>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</si>
  <si>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</si>
  <si>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</si>
  <si>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</si>
  <si>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</si>
  <si>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</si>
  <si>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</si>
  <si>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</si>
  <si>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</si>
  <si>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</si>
  <si>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</si>
  <si>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</si>
  <si>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</si>
  <si>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</si>
  <si>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</si>
  <si>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</si>
  <si>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</si>
  <si>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</si>
  <si>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</si>
  <si>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</si>
  <si>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</si>
  <si>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</si>
  <si>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</si>
  <si>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</si>
  <si>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</si>
  <si>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</si>
  <si>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</si>
  <si>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</si>
  <si>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</si>
  <si>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</si>
  <si>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</si>
  <si>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</si>
  <si>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</si>
  <si>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</si>
  <si>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</si>
  <si>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</si>
  <si>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</si>
  <si>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</si>
  <si>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</si>
  <si>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</si>
  <si>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</si>
  <si>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</si>
  <si>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</si>
  <si>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</si>
  <si>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</si>
  <si>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</si>
  <si>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</si>
  <si>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</si>
  <si>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</si>
  <si>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</si>
  <si>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</si>
  <si>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</si>
  <si>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</si>
  <si>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</si>
  <si>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</si>
  <si>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</si>
  <si>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</si>
  <si>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</si>
  <si>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</si>
  <si>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</si>
  <si>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</si>
  <si>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</si>
  <si>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</si>
  <si>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</si>
  <si>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</si>
  <si>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</si>
  <si>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</si>
  <si>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</si>
  <si>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</si>
  <si>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</si>
  <si>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</si>
  <si>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</si>
  <si>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</si>
  <si>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</si>
  <si>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</si>
  <si>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</si>
  <si>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</si>
  <si>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</si>
  <si>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</si>
  <si>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</si>
  <si>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</si>
  <si>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</si>
  <si>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</si>
  <si>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</si>
  <si>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</si>
  <si>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</si>
  <si>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</si>
  <si>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</si>
  <si>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</si>
  <si>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</si>
  <si>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</si>
  <si>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</si>
  <si>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</si>
  <si>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</si>
  <si>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</si>
  <si>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</si>
  <si>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</si>
  <si>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</si>
  <si>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</si>
  <si>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</si>
  <si>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</si>
  <si>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</si>
  <si>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</si>
  <si>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</si>
  <si>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</si>
  <si>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</si>
  <si>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</si>
  <si>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</si>
  <si>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</si>
  <si>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</si>
  <si>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</si>
  <si>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</si>
  <si>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</si>
  <si>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</si>
  <si>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</si>
  <si>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</si>
  <si>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</si>
  <si>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</si>
  <si>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</si>
  <si>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</si>
  <si>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</si>
  <si>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</si>
  <si>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</si>
  <si>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</si>
  <si>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</si>
  <si>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</si>
  <si>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</si>
  <si>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</si>
  <si>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</si>
  <si>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</si>
  <si>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</si>
  <si>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</si>
  <si>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</si>
  <si>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</si>
  <si>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</si>
  <si>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</si>
  <si>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</si>
  <si>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</si>
  <si>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</si>
  <si>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</si>
  <si>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</si>
  <si>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</si>
  <si>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</si>
  <si>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</si>
  <si>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</si>
  <si>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</si>
  <si>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</si>
  <si>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</si>
  <si>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</si>
  <si>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</si>
  <si>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</si>
  <si>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</si>
  <si>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</si>
  <si>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</si>
  <si>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</si>
  <si>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</si>
  <si>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</si>
  <si>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</si>
  <si>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</si>
  <si>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</si>
  <si>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</si>
  <si>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</si>
  <si>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</si>
  <si>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</si>
  <si>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</si>
  <si>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</si>
  <si>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</si>
  <si>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</si>
  <si>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</si>
  <si>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</si>
  <si>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</si>
  <si>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</si>
  <si>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</si>
  <si>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</si>
  <si>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</si>
  <si>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</si>
  <si>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</si>
  <si>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</si>
  <si>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</si>
  <si>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</si>
  <si>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</si>
  <si>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</si>
  <si>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</si>
  <si>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</si>
  <si>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</si>
  <si>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</si>
  <si>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</si>
  <si>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</si>
  <si>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</si>
  <si>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</si>
  <si>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</si>
  <si>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</si>
  <si>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</si>
  <si>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</si>
  <si>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</si>
  <si>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</si>
  <si>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</si>
  <si>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</si>
  <si>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</si>
  <si>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</si>
  <si>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</si>
  <si>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</si>
  <si>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</si>
  <si>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</si>
  <si>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</si>
  <si>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</si>
  <si>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</si>
  <si>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</si>
  <si>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</si>
  <si>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</si>
  <si>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</si>
  <si>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</si>
  <si>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</si>
  <si>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</si>
  <si>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</si>
  <si>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</si>
  <si>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</si>
  <si>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</si>
  <si>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</si>
  <si>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</si>
  <si>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</si>
  <si>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</si>
  <si>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</si>
  <si>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</si>
  <si>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</si>
  <si>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</si>
  <si>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</si>
  <si>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</si>
  <si>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</si>
  <si>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</si>
  <si>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</si>
  <si>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</si>
  <si>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</si>
  <si>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</si>
  <si>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</si>
  <si>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</si>
  <si>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</si>
  <si>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</si>
  <si>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</si>
  <si>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</si>
  <si>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</si>
  <si>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</si>
  <si>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</si>
  <si>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</si>
  <si>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</si>
  <si>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</si>
  <si>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</si>
  <si>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</si>
  <si>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</si>
  <si>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</si>
  <si>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</si>
  <si>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</si>
  <si>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</si>
  <si>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</si>
  <si>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</si>
  <si>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</si>
  <si>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</si>
  <si>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</si>
  <si>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</si>
  <si>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</si>
  <si>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</si>
  <si>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</si>
  <si>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</si>
  <si>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</si>
  <si>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</si>
  <si>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</si>
  <si>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</si>
  <si>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</si>
  <si>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</si>
  <si>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</si>
  <si>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</si>
  <si>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</si>
  <si>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</si>
  <si>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</si>
  <si>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</si>
  <si>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</si>
  <si>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</si>
  <si>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</si>
  <si>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</si>
  <si>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</si>
  <si>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</si>
  <si>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</si>
  <si>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</si>
  <si>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</si>
  <si>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</si>
  <si>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</si>
  <si>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</si>
  <si>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</si>
  <si>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</si>
  <si>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</si>
  <si>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</si>
  <si>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</si>
  <si>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</si>
  <si>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</si>
  <si>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</si>
  <si>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</si>
  <si>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</si>
  <si>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</si>
  <si>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</si>
  <si>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</si>
  <si>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</si>
  <si>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</si>
  <si>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</si>
  <si>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</si>
  <si>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</si>
  <si>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</si>
  <si>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</si>
  <si>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</si>
  <si>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</si>
  <si>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</si>
  <si>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</si>
  <si>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</si>
  <si>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</si>
  <si>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</si>
  <si>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</si>
  <si>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</si>
  <si>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</si>
  <si>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</si>
  <si>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</si>
  <si>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</si>
  <si>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</si>
  <si>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</si>
  <si>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</si>
  <si>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</si>
  <si>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</si>
  <si>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</si>
  <si>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</si>
  <si>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</si>
  <si>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</si>
  <si>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</si>
  <si>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</si>
  <si>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</si>
  <si>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</si>
  <si>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</si>
  <si>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</si>
  <si>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</si>
  <si>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</si>
  <si>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</si>
  <si>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</si>
  <si>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</si>
  <si>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</si>
  <si>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</si>
  <si>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</si>
  <si>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</si>
  <si>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</si>
  <si>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</si>
  <si>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</si>
  <si>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</si>
  <si>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</si>
  <si>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</si>
  <si>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</si>
  <si>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</si>
  <si>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</si>
  <si>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</si>
  <si>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</si>
  <si>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</si>
  <si>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</si>
  <si>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</si>
  <si>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</si>
  <si>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</si>
  <si>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</si>
  <si>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</si>
  <si>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</si>
  <si>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</si>
  <si>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</si>
  <si>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</si>
  <si>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</si>
  <si>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</si>
  <si>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</si>
  <si>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</si>
  <si>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</si>
  <si>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</si>
  <si>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</si>
  <si>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</si>
  <si>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</si>
  <si>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</si>
  <si>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</si>
  <si>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</si>
  <si>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</si>
  <si>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</si>
  <si>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</si>
  <si>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</si>
  <si>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</si>
  <si>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</si>
  <si>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</si>
  <si>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</si>
  <si>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</si>
  <si>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</si>
  <si>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</si>
  <si>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</si>
  <si>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</si>
  <si>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</si>
  <si>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</si>
  <si>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</si>
  <si>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</si>
  <si>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</si>
  <si>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</si>
  <si>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</si>
  <si>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</si>
  <si>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</si>
  <si>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</si>
  <si>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</si>
  <si>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</si>
  <si>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</si>
  <si>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</si>
  <si>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</si>
  <si>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</si>
  <si>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</si>
  <si>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</si>
  <si>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</si>
  <si>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</si>
  <si>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</si>
  <si>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</si>
  <si>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</si>
  <si>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</si>
  <si>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</si>
  <si>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</si>
  <si>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</si>
  <si>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</si>
  <si>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</si>
  <si>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</si>
  <si>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</si>
  <si>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</si>
  <si>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</si>
  <si>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</si>
  <si>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</si>
  <si>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</si>
  <si>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</si>
  <si>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</si>
  <si>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</si>
  <si>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</si>
  <si>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</si>
  <si>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Unknown</t>
  </si>
  <si>
    <t>Uknown</t>
  </si>
  <si>
    <t>LeadTimeDays</t>
  </si>
  <si>
    <t>GrossRevenue</t>
  </si>
  <si>
    <t>CostOfGoods</t>
  </si>
  <si>
    <t>GrossProfit</t>
  </si>
  <si>
    <t>MarginPct</t>
  </si>
  <si>
    <t>SCENARIO CONTROL PANEL</t>
  </si>
  <si>
    <t>Inflation Factor</t>
  </si>
  <si>
    <t>Max Discount Allowed</t>
  </si>
  <si>
    <t>Scenario Cost</t>
  </si>
  <si>
    <t>Scenario Revenue</t>
  </si>
  <si>
    <t>Month</t>
  </si>
  <si>
    <t>Column Labels</t>
  </si>
  <si>
    <t>Apr-2023</t>
  </si>
  <si>
    <t>Apr-2024</t>
  </si>
  <si>
    <t>Apr-2025</t>
  </si>
  <si>
    <t>Aug-2023</t>
  </si>
  <si>
    <t>Aug-2024</t>
  </si>
  <si>
    <t>Aug-2025</t>
  </si>
  <si>
    <t>Dec-2023</t>
  </si>
  <si>
    <t>Dec-2024</t>
  </si>
  <si>
    <t>Feb-2023</t>
  </si>
  <si>
    <t>Feb-2024</t>
  </si>
  <si>
    <t>Feb-2025</t>
  </si>
  <si>
    <t>Jan-2023</t>
  </si>
  <si>
    <t>Jan-2024</t>
  </si>
  <si>
    <t>Jan-2025</t>
  </si>
  <si>
    <t>Jul-2023</t>
  </si>
  <si>
    <t>Jul-2024</t>
  </si>
  <si>
    <t>Jul-2025</t>
  </si>
  <si>
    <t>Jun-2023</t>
  </si>
  <si>
    <t>Jun-2024</t>
  </si>
  <si>
    <t>Jun-2025</t>
  </si>
  <si>
    <t>Mar-2023</t>
  </si>
  <si>
    <t>Mar-2024</t>
  </si>
  <si>
    <t>Mar-2025</t>
  </si>
  <si>
    <t>May-2023</t>
  </si>
  <si>
    <t>May-2024</t>
  </si>
  <si>
    <t>May-2025</t>
  </si>
  <si>
    <t>Nov-2023</t>
  </si>
  <si>
    <t>Nov-2024</t>
  </si>
  <si>
    <t>Oct-2023</t>
  </si>
  <si>
    <t>Oct-2024</t>
  </si>
  <si>
    <t>Sep-2023</t>
  </si>
  <si>
    <t>Sep-2024</t>
  </si>
  <si>
    <t>Sep-2025</t>
  </si>
  <si>
    <t>Grand Total</t>
  </si>
  <si>
    <t>Sum of GrossRevenue</t>
  </si>
  <si>
    <t>Row Labels</t>
  </si>
  <si>
    <t>Sum of GrossProfit</t>
  </si>
  <si>
    <t>Max of DiscountPct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</si>
</sst>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xf numFmtId="164" fontId="3" fillId="0" borderId="0" xfId="0" applyNumberFormat="1" applyFont="1"/>
    <xf numFmtId="1" fontId="3" fillId="0" borderId="0" xfId="0" applyNumberFormat="1" applyFont="1"/>
    <xf numFmtId="0" fontId="2" fillId="0" borderId="0" xfId="0" applyFont="1"/>
    <xf numFmtId="9" fontId="3" fillId="0" borderId="0" xfId="0" applyNumberFormat="1" applyFont="1"/>
    <xf numFmtId="0" fontId="0" fillId="0" borderId="0" xfId="0" pivotButton="1"/>
    <xf numFmtId="0" fontId="0" fillId="0" borderId="0" xfId="0" applyNumberFormat="1"/>
    <xf numFmtId="0" fontId="0" fillId="0" borderId="0" xfId="0" applyAlignment="1">
      <alignment horizontal="left"/>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[Excel_Assignment_Githinji Victor Maina.xlsx]DashBoard Calculations!PivotTable4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Regional</a:t>
            </a:r>
            <a:r>
              <a:rPr lang="en-US" b="1" baseline="0"/>
              <a:t> Total Gross Revenue</a:t>
            </a:r>
          </a:p>
          <a:p>
            <a:pPr>
              <a:defRPr/>
            </a:pP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Calculations'!$B$9</c:f>
              <c:strCache>
                <c:ptCount val="1"/>
                <c:pt idx="0">
                  <c:v>Total</c:v>
                </c:pt>
              </c:strCache>
            </c:strRef>
          </c:tx>
          <c:spPr>
            <a:solidFill>
              <a:schemeClr val="accent1"/>
            </a:solidFill>
            <a:ln>
              <a:noFill/>
            </a:ln>
            <a:effectLst/>
          </c:spPr>
          <c:invertIfNegative val="0"/>
          <c:cat>
            <c:strRef>
              <c:f>'DashBoard Calculations'!$A$10:$A$14</c:f>
              <c:strCache>
                <c:ptCount val="4"/>
                <c:pt idx="0">
                  <c:v>Africa</c:v>
                </c:pt>
                <c:pt idx="1">
                  <c:v>Americas</c:v>
                </c:pt>
                <c:pt idx="2">
                  <c:v>Asia</c:v>
                </c:pt>
                <c:pt idx="3">
                  <c:v>Europe</c:v>
                </c:pt>
              </c:strCache>
            </c:strRef>
          </c:cat>
          <c:val>
            <c:numRef>
              <c:f>'DashBoard Calculations'!$B$10:$B$14</c:f>
              <c:numCache>
                <c:formatCode>General</c:formatCode>
                <c:ptCount val="4"/>
                <c:pt idx="0">
                  <c:v>2597635.8415000006</c:v>
                </c:pt>
                <c:pt idx="1">
                  <c:v>2688750.0213399995</c:v>
                </c:pt>
                <c:pt idx="2">
                  <c:v>2841471.9176500016</c:v>
                </c:pt>
                <c:pt idx="3">
                  <c:v>2800987.9360100003</c:v>
                </c:pt>
              </c:numCache>
            </c:numRef>
          </c:val>
          <c:extLst>
            <c:ext xmlns:c16="http://schemas.microsoft.com/office/drawing/2014/chart" uri="{C3380CC4-5D6E-409C-BE32-E72D297353CC}">
              <c16:uniqueId val="{00000000-C226-4B34-B5F2-A36C3A922261}"/>
            </c:ext>
          </c:extLst>
        </c:ser>
        <c:dLbls>
          <c:showLegendKey val="0"/>
          <c:showVal val="0"/>
          <c:showCatName val="0"/>
          <c:showSerName val="0"/>
          <c:showPercent val="0"/>
          <c:showBubbleSize val="0"/>
        </c:dLbls>
        <c:gapWidth val="182"/>
        <c:axId val="1200812031"/>
        <c:axId val="1200812511"/>
      </c:barChart>
      <c:catAx>
        <c:axId val="1200812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812511"/>
        <c:crosses val="autoZero"/>
        <c:auto val="1"/>
        <c:lblAlgn val="ctr"/>
        <c:lblOffset val="100"/>
        <c:noMultiLvlLbl val="0"/>
      </c:catAx>
      <c:valAx>
        <c:axId val="12008125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81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[Excel_Assignment_Githinji Victor Maina.xlsx]DashBoard Calculations!PivotTable5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 Calculations'!$B$18</c:f>
              <c:strCache>
                <c:ptCount val="1"/>
                <c:pt idx="0">
                  <c:v>Total</c:v>
                </c:pt>
              </c:strCache>
            </c:strRef>
          </c:tx>
          <c:spPr>
            <a:solidFill>
              <a:schemeClr val="accent1"/>
            </a:solidFill>
            <a:ln>
              <a:noFill/>
            </a:ln>
            <a:effectLst/>
          </c:spPr>
          <c:invertIfNegative val="0"/>
          <c:cat>
            <c:strRef>
              <c:f>'DashBoard Calculations'!$A$19:$A$29</c:f>
              <c:strCache>
                <c:ptCount val="10"/>
                <c:pt idx="0">
                  <c:v>CMP-3938</c:v>
                </c:pt>
                <c:pt idx="1">
                  <c:v>CMP-8851</c:v>
                </c:pt>
                <c:pt idx="2">
                  <c:v>LAP-3904</c:v>
                </c:pt>
                <c:pt idx="3">
                  <c:v>LAP-8910</c:v>
                </c:pt>
                <c:pt idx="4">
                  <c:v>MON-2266</c:v>
                </c:pt>
                <c:pt idx="5">
                  <c:v>MON-6699</c:v>
                </c:pt>
                <c:pt idx="6">
                  <c:v>MON-6962</c:v>
                </c:pt>
                <c:pt idx="7">
                  <c:v>NET-2365</c:v>
                </c:pt>
                <c:pt idx="8">
                  <c:v>NET-5523</c:v>
                </c:pt>
                <c:pt idx="9">
                  <c:v>NET-5987</c:v>
                </c:pt>
              </c:strCache>
            </c:strRef>
          </c:cat>
          <c:val>
            <c:numRef>
              <c:f>'DashBoard Calculations'!$B$19:$B$29</c:f>
              <c:numCache>
                <c:formatCode>General</c:formatCode>
                <c:ptCount val="10"/>
                <c:pt idx="0">
                  <c:v>84136.119600000005</c:v>
                </c:pt>
                <c:pt idx="1">
                  <c:v>139277.83032000001</c:v>
                </c:pt>
                <c:pt idx="2">
                  <c:v>82514.711519999997</c:v>
                </c:pt>
                <c:pt idx="3">
                  <c:v>102122.94203999999</c:v>
                </c:pt>
                <c:pt idx="4">
                  <c:v>87404.929919999995</c:v>
                </c:pt>
                <c:pt idx="5">
                  <c:v>85637.740319999997</c:v>
                </c:pt>
                <c:pt idx="6">
                  <c:v>92715.25</c:v>
                </c:pt>
                <c:pt idx="7">
                  <c:v>109244</c:v>
                </c:pt>
                <c:pt idx="8">
                  <c:v>79548.755999999994</c:v>
                </c:pt>
                <c:pt idx="9">
                  <c:v>82141.339799999987</c:v>
                </c:pt>
              </c:numCache>
            </c:numRef>
          </c:val>
          <c:extLst>
            <c:ext xmlns:c16="http://schemas.microsoft.com/office/drawing/2014/chart" uri="{C3380CC4-5D6E-409C-BE32-E72D297353CC}">
              <c16:uniqueId val="{00000000-8F2E-4F4C-893E-6120A2482ED0}"/>
            </c:ext>
          </c:extLst>
        </c:ser>
        <c:dLbls>
          <c:showLegendKey val="0"/>
          <c:showVal val="0"/>
          <c:showCatName val="0"/>
          <c:showSerName val="0"/>
          <c:showPercent val="0"/>
          <c:showBubbleSize val="0"/>
        </c:dLbls>
        <c:gapWidth val="182"/>
        <c:axId val="1278375231"/>
        <c:axId val="1278367071"/>
      </c:barChart>
      <c:catAx>
        <c:axId val="1278375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367071"/>
        <c:crosses val="autoZero"/>
        <c:auto val="1"/>
        <c:lblAlgn val="ctr"/>
        <c:lblOffset val="100"/>
        <c:noMultiLvlLbl val="0"/>
      </c:catAx>
      <c:valAx>
        <c:axId val="1278367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37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[Excel_Assignment_Githinji Victor Maina.xlsx]DashBoard Calculations!PivotTable6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Max Discount by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Calculations'!$I$9</c:f>
              <c:strCache>
                <c:ptCount val="1"/>
                <c:pt idx="0">
                  <c:v>Total</c:v>
                </c:pt>
              </c:strCache>
            </c:strRef>
          </c:tx>
          <c:spPr>
            <a:solidFill>
              <a:schemeClr val="accent1"/>
            </a:solidFill>
            <a:ln>
              <a:noFill/>
            </a:ln>
            <a:effectLst/>
          </c:spPr>
          <c:invertIfNegative val="0"/>
          <c:cat>
            <c:strRef>
              <c:f>'DashBoard Calculations'!$H$10:$H$26</c:f>
              <c:strCache>
                <c:ptCount val="16"/>
                <c:pt idx="0">
                  <c:v>A. Patel</c:v>
                </c:pt>
                <c:pt idx="1">
                  <c:v>B. Chen</c:v>
                </c:pt>
                <c:pt idx="2">
                  <c:v>C. Otieno</c:v>
                </c:pt>
                <c:pt idx="3">
                  <c:v>D. Smith</c:v>
                </c:pt>
                <c:pt idx="4">
                  <c:v>E. Garcia</c:v>
                </c:pt>
                <c:pt idx="5">
                  <c:v>F. Müller</c:v>
                </c:pt>
                <c:pt idx="6">
                  <c:v>G. Dubois</c:v>
                </c:pt>
                <c:pt idx="7">
                  <c:v>H. Kim</c:v>
                </c:pt>
                <c:pt idx="8">
                  <c:v>I. Johnson</c:v>
                </c:pt>
                <c:pt idx="9">
                  <c:v>J. Njeri</c:v>
                </c:pt>
                <c:pt idx="10">
                  <c:v>K. Singh</c:v>
                </c:pt>
                <c:pt idx="11">
                  <c:v>L. Okafor</c:v>
                </c:pt>
                <c:pt idx="12">
                  <c:v>M. Rossi</c:v>
                </c:pt>
                <c:pt idx="13">
                  <c:v>N. Brown</c:v>
                </c:pt>
                <c:pt idx="14">
                  <c:v>O. Wang</c:v>
                </c:pt>
                <c:pt idx="15">
                  <c:v>Unknown</c:v>
                </c:pt>
              </c:strCache>
            </c:strRef>
          </c:cat>
          <c:val>
            <c:numRef>
              <c:f>'DashBoard Calculations'!$I$10:$I$26</c:f>
              <c:numCache>
                <c:formatCode>General</c:formatCode>
                <c:ptCount val="16"/>
                <c:pt idx="0">
                  <c:v>0.34300000000000003</c:v>
                </c:pt>
                <c:pt idx="1">
                  <c:v>0.24299999999999999</c:v>
                </c:pt>
                <c:pt idx="2">
                  <c:v>0.35699999999999998</c:v>
                </c:pt>
                <c:pt idx="3">
                  <c:v>0.29199999999999998</c:v>
                </c:pt>
                <c:pt idx="4">
                  <c:v>0.25</c:v>
                </c:pt>
                <c:pt idx="5">
                  <c:v>0.26100000000000001</c:v>
                </c:pt>
                <c:pt idx="6">
                  <c:v>0.28199999999999997</c:v>
                </c:pt>
                <c:pt idx="7">
                  <c:v>0.318</c:v>
                </c:pt>
                <c:pt idx="8">
                  <c:v>0.254</c:v>
                </c:pt>
                <c:pt idx="9">
                  <c:v>0.29299999999999998</c:v>
                </c:pt>
                <c:pt idx="10">
                  <c:v>0.27200000000000002</c:v>
                </c:pt>
                <c:pt idx="11">
                  <c:v>0.34599999999999997</c:v>
                </c:pt>
                <c:pt idx="12">
                  <c:v>0.56499999999999995</c:v>
                </c:pt>
                <c:pt idx="13">
                  <c:v>0.254</c:v>
                </c:pt>
                <c:pt idx="14">
                  <c:v>0.29499999999999998</c:v>
                </c:pt>
                <c:pt idx="15">
                  <c:v>0.29899999999999999</c:v>
                </c:pt>
              </c:numCache>
            </c:numRef>
          </c:val>
          <c:extLst>
            <c:ext xmlns:c16="http://schemas.microsoft.com/office/drawing/2014/chart" uri="{C3380CC4-5D6E-409C-BE32-E72D297353CC}">
              <c16:uniqueId val="{00000000-9DEB-4AD1-8674-5FF130F427E4}"/>
            </c:ext>
          </c:extLst>
        </c:ser>
        <c:dLbls>
          <c:showLegendKey val="0"/>
          <c:showVal val="0"/>
          <c:showCatName val="0"/>
          <c:showSerName val="0"/>
          <c:showPercent val="0"/>
          <c:showBubbleSize val="0"/>
        </c:dLbls>
        <c:gapWidth val="219"/>
        <c:overlap val="-27"/>
        <c:axId val="1388091919"/>
        <c:axId val="1388096719"/>
      </c:barChart>
      <c:catAx>
        <c:axId val="138809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096719"/>
        <c:crosses val="autoZero"/>
        <c:auto val="1"/>
        <c:lblAlgn val="ctr"/>
        <c:lblOffset val="100"/>
        <c:noMultiLvlLbl val="0"/>
      </c:catAx>
      <c:valAx>
        <c:axId val="138809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8091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[Excel_Assignment_Githinji Victor Maina.xlsx]DashBoard Calculations!PivotTable7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Country's Gross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Calculations'!$F$9</c:f>
              <c:strCache>
                <c:ptCount val="1"/>
                <c:pt idx="0">
                  <c:v>Total</c:v>
                </c:pt>
              </c:strCache>
            </c:strRef>
          </c:tx>
          <c:spPr>
            <a:ln w="28575" cap="rnd">
              <a:solidFill>
                <a:schemeClr val="accent1"/>
              </a:solidFill>
              <a:round/>
            </a:ln>
            <a:effectLst/>
          </c:spPr>
          <c:marker>
            <c:symbol val="none"/>
          </c:marker>
          <c:cat>
            <c:strRef>
              <c:f>'DashBoard Calculations'!$E$10:$E$22</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cat>
          <c:val>
            <c:numRef>
              <c:f>'DashBoard Calculations'!$F$10:$F$22</c:f>
              <c:numCache>
                <c:formatCode>General</c:formatCode>
                <c:ptCount val="12"/>
                <c:pt idx="0">
                  <c:v>390688.76450000011</c:v>
                </c:pt>
                <c:pt idx="1">
                  <c:v>321603.48432000011</c:v>
                </c:pt>
                <c:pt idx="2">
                  <c:v>327370.14363000006</c:v>
                </c:pt>
                <c:pt idx="3">
                  <c:v>322245.16477000003</c:v>
                </c:pt>
                <c:pt idx="4">
                  <c:v>340188.29118</c:v>
                </c:pt>
                <c:pt idx="5">
                  <c:v>383057.00934000016</c:v>
                </c:pt>
                <c:pt idx="6">
                  <c:v>290576.29456000001</c:v>
                </c:pt>
                <c:pt idx="7">
                  <c:v>329558.74558999989</c:v>
                </c:pt>
                <c:pt idx="8">
                  <c:v>333805.75657000003</c:v>
                </c:pt>
                <c:pt idx="9">
                  <c:v>303306.15601999999</c:v>
                </c:pt>
                <c:pt idx="10">
                  <c:v>454065.02064000012</c:v>
                </c:pt>
                <c:pt idx="11">
                  <c:v>246270.14577999999</c:v>
                </c:pt>
              </c:numCache>
            </c:numRef>
          </c:val>
          <c:smooth val="0"/>
          <c:extLst>
            <c:ext xmlns:c16="http://schemas.microsoft.com/office/drawing/2014/chart" uri="{C3380CC4-5D6E-409C-BE32-E72D297353CC}">
              <c16:uniqueId val="{00000000-BC67-4CD2-A6B8-A8A75931C092}"/>
            </c:ext>
          </c:extLst>
        </c:ser>
        <c:dLbls>
          <c:showLegendKey val="0"/>
          <c:showVal val="0"/>
          <c:showCatName val="0"/>
          <c:showSerName val="0"/>
          <c:showPercent val="0"/>
          <c:showBubbleSize val="0"/>
        </c:dLbls>
        <c:smooth val="0"/>
        <c:axId val="1480680127"/>
        <c:axId val="1480671007"/>
      </c:lineChart>
      <c:catAx>
        <c:axId val="148068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71007"/>
        <c:crosses val="autoZero"/>
        <c:auto val="1"/>
        <c:lblAlgn val="ctr"/>
        <c:lblOffset val="100"/>
        <c:noMultiLvlLbl val="0"/>
      </c:catAx>
      <c:valAx>
        <c:axId val="148067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8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23</xdr:col>
      <xdr:colOff>123825</xdr:colOff>
      <xdr:row>44</xdr:row>
      <xdr:rowOff>28575</xdr:rowOff>
    </xdr:to>
    <xdr:sp macro="" textlink="">
      <xdr:nvSpPr>
        <xdr:cNvPr id="2" name="TextBox 1">
          <a:extLst>
            <a:ext uri="{FF2B5EF4-FFF2-40B4-BE49-F238E27FC236}">
              <a16:creationId xmlns:a16="http://schemas.microsoft.com/office/drawing/2014/main" id="{6C0944BF-19DE-E6F2-AD19-EA418097E6AB}"/>
            </a:ext>
          </a:extLst>
        </xdr:cNvPr>
        <xdr:cNvSpPr txBox="1"/>
      </xdr:nvSpPr>
      <xdr:spPr>
        <a:xfrm>
          <a:off x="0" y="19050"/>
          <a:ext cx="14144625" cy="8391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PROJECT README: SALES ANALYTICS DASHBOARD</a:t>
          </a:r>
          <a:r>
            <a:rPr lang="en-US" sz="1600"/>
            <a:t> </a:t>
          </a:r>
          <a:r>
            <a:rPr lang="en-US" sz="1600" b="1"/>
            <a:t>Author:</a:t>
          </a:r>
          <a:r>
            <a:rPr lang="en-US" sz="1600"/>
            <a:t> Githinji</a:t>
          </a:r>
          <a:r>
            <a:rPr lang="en-US" sz="1600" baseline="0"/>
            <a:t> Victor Maina</a:t>
          </a:r>
          <a:endParaRPr lang="en-US" sz="1600"/>
        </a:p>
        <a:p>
          <a:r>
            <a:rPr lang="en-US" sz="1600" b="1"/>
            <a:t>1. Data Quality Issues &amp; Cleaning Rules</a:t>
          </a:r>
          <a:endParaRPr lang="en-US" sz="1600"/>
        </a:p>
        <a:p>
          <a:r>
            <a:rPr lang="en-US" sz="1600" b="1"/>
            <a:t>Missing Data:</a:t>
          </a:r>
          <a:r>
            <a:rPr lang="en-US" sz="1600"/>
            <a:t> Found missing values in </a:t>
          </a:r>
          <a:r>
            <a:rPr lang="en-US" sz="1600">
              <a:solidFill>
                <a:schemeClr val="dk1"/>
              </a:solidFill>
              <a:latin typeface="+mn-lt"/>
              <a:ea typeface="+mn-ea"/>
              <a:cs typeface="+mn-cs"/>
            </a:rPr>
            <a:t>City</a:t>
          </a:r>
          <a:r>
            <a:rPr lang="en-US" sz="1600"/>
            <a:t> and </a:t>
          </a:r>
          <a:r>
            <a:rPr lang="en-US" sz="1600">
              <a:solidFill>
                <a:schemeClr val="dk1"/>
              </a:solidFill>
              <a:latin typeface="+mn-lt"/>
              <a:ea typeface="+mn-ea"/>
              <a:cs typeface="+mn-cs"/>
            </a:rPr>
            <a:t>Salesperson</a:t>
          </a:r>
          <a:r>
            <a:rPr lang="en-US" sz="1600"/>
            <a:t>. Imputed using "Go To Special &gt; Blanks" with "Unknown" placeholder.</a:t>
          </a:r>
        </a:p>
        <a:p>
          <a:r>
            <a:rPr lang="en-US" sz="1600" b="1"/>
            <a:t>Negative Prices:</a:t>
          </a:r>
          <a:r>
            <a:rPr lang="en-US" sz="1600"/>
            <a:t> Identified negative values in </a:t>
          </a:r>
          <a:r>
            <a:rPr lang="en-US" sz="1600">
              <a:solidFill>
                <a:schemeClr val="dk1"/>
              </a:solidFill>
              <a:latin typeface="+mn-lt"/>
              <a:ea typeface="+mn-ea"/>
              <a:cs typeface="+mn-cs"/>
            </a:rPr>
            <a:t>UnitPrice</a:t>
          </a:r>
          <a:r>
            <a:rPr lang="en-US" sz="1600"/>
            <a:t>. Corrected using </a:t>
          </a:r>
          <a:r>
            <a:rPr lang="en-US" sz="1600">
              <a:solidFill>
                <a:schemeClr val="dk1"/>
              </a:solidFill>
              <a:latin typeface="+mn-lt"/>
              <a:ea typeface="+mn-ea"/>
              <a:cs typeface="+mn-cs"/>
            </a:rPr>
            <a:t>=ABS()</a:t>
          </a:r>
          <a:r>
            <a:rPr lang="en-US" sz="1600"/>
            <a:t> formula.</a:t>
          </a:r>
        </a:p>
        <a:p>
          <a:r>
            <a:rPr lang="en-US" sz="1600" b="1"/>
            <a:t>Dates:</a:t>
          </a:r>
          <a:r>
            <a:rPr lang="en-US" sz="1600"/>
            <a:t> Verified </a:t>
          </a:r>
          <a:r>
            <a:rPr lang="en-US" sz="1600">
              <a:solidFill>
                <a:schemeClr val="dk1"/>
              </a:solidFill>
              <a:latin typeface="+mn-lt"/>
              <a:ea typeface="+mn-ea"/>
              <a:cs typeface="+mn-cs"/>
            </a:rPr>
            <a:t>RequiredDate</a:t>
          </a:r>
          <a:r>
            <a:rPr lang="en-US" sz="1600"/>
            <a:t> &lt; </a:t>
          </a:r>
          <a:r>
            <a:rPr lang="en-US" sz="1600">
              <a:solidFill>
                <a:schemeClr val="dk1"/>
              </a:solidFill>
              <a:latin typeface="+mn-lt"/>
              <a:ea typeface="+mn-ea"/>
              <a:cs typeface="+mn-cs"/>
            </a:rPr>
            <a:t>OrderDate</a:t>
          </a:r>
          <a:r>
            <a:rPr lang="en-US" sz="1600"/>
            <a:t> errors and corrected lead time logic.</a:t>
          </a:r>
        </a:p>
        <a:p>
          <a:r>
            <a:rPr lang="en-US" sz="1600" b="1"/>
            <a:t>2. Methodology</a:t>
          </a:r>
          <a:endParaRPr lang="en-US" sz="1600"/>
        </a:p>
        <a:p>
          <a:r>
            <a:rPr lang="en-US" sz="1600" b="1"/>
            <a:t>Lead Time:</a:t>
          </a:r>
          <a:r>
            <a:rPr lang="en-US" sz="1600"/>
            <a:t> Calculated as </a:t>
          </a:r>
          <a:r>
            <a:rPr lang="en-US" sz="1600">
              <a:solidFill>
                <a:schemeClr val="dk1"/>
              </a:solidFill>
              <a:latin typeface="+mn-lt"/>
              <a:ea typeface="+mn-ea"/>
              <a:cs typeface="+mn-cs"/>
            </a:rPr>
            <a:t>RequiredDate - OrderDate</a:t>
          </a:r>
          <a:r>
            <a:rPr lang="en-US" sz="1600"/>
            <a:t>.</a:t>
          </a:r>
        </a:p>
        <a:p>
          <a:r>
            <a:rPr lang="en-US" sz="1600" b="1"/>
            <a:t>Scenario Modeling:</a:t>
          </a:r>
          <a:r>
            <a:rPr lang="en-US" sz="1600"/>
            <a:t> Created a "What-If" control panel using linked formulas (</a:t>
          </a:r>
          <a:r>
            <a:rPr lang="en-US" sz="1600">
              <a:solidFill>
                <a:schemeClr val="dk1"/>
              </a:solidFill>
              <a:latin typeface="+mn-lt"/>
              <a:ea typeface="+mn-ea"/>
              <a:cs typeface="+mn-cs"/>
            </a:rPr>
            <a:t>$Cell$Reference</a:t>
          </a:r>
          <a:r>
            <a:rPr lang="en-US" sz="1600"/>
            <a:t>) to model Inflation and Discount Caps dynamically.</a:t>
          </a:r>
        </a:p>
        <a:p>
          <a:r>
            <a:rPr lang="en-US" sz="1600" b="1"/>
            <a:t>Outliers:</a:t>
          </a:r>
          <a:r>
            <a:rPr lang="en-US" sz="1600"/>
            <a:t> Defined discount outliers as any salesperson granting &gt;20% max discount.</a:t>
          </a:r>
        </a:p>
        <a:p>
          <a:r>
            <a:rPr lang="en-US" sz="1600" b="1"/>
            <a:t>3. Assumptions</a:t>
          </a:r>
          <a:endParaRPr lang="en-US" sz="1600"/>
        </a:p>
        <a:p>
          <a:r>
            <a:rPr lang="en-US" sz="1600"/>
            <a:t>Baseline inflation is set to 0% for initial analysis.</a:t>
          </a:r>
        </a:p>
        <a:p>
          <a:r>
            <a:rPr lang="en-US" sz="1600"/>
            <a:t>The "Top 10" analysis focuses on Gross Revenue.</a:t>
          </a:r>
        </a:p>
        <a:p>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85725</xdr:colOff>
      <xdr:row>9</xdr:row>
      <xdr:rowOff>19050</xdr:rowOff>
    </xdr:from>
    <xdr:to>
      <xdr:col>19</xdr:col>
      <xdr:colOff>390525</xdr:colOff>
      <xdr:row>23</xdr:row>
      <xdr:rowOff>95250</xdr:rowOff>
    </xdr:to>
    <xdr:graphicFrame macro="">
      <xdr:nvGraphicFramePr>
        <xdr:cNvPr id="3" name="Chart 2">
          <a:extLst>
            <a:ext uri="{FF2B5EF4-FFF2-40B4-BE49-F238E27FC236}">
              <a16:creationId xmlns:a16="http://schemas.microsoft.com/office/drawing/2014/main" id="{55C0A308-3248-4F3B-B74D-455FC2E78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85725</xdr:colOff>
      <xdr:row>24</xdr:row>
      <xdr:rowOff>57150</xdr:rowOff>
    </xdr:from>
    <xdr:to>
      <xdr:col>19</xdr:col>
      <xdr:colOff>390525</xdr:colOff>
      <xdr:row>38</xdr:row>
      <xdr:rowOff>133350</xdr:rowOff>
    </xdr:to>
    <xdr:graphicFrame macro="">
      <xdr:nvGraphicFramePr>
        <xdr:cNvPr id="4" name="Chart 3">
          <a:extLst>
            <a:ext uri="{FF2B5EF4-FFF2-40B4-BE49-F238E27FC236}">
              <a16:creationId xmlns:a16="http://schemas.microsoft.com/office/drawing/2014/main" id="{9ACB1C9B-4123-4BBD-AE3D-7E162957E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504825</xdr:colOff>
      <xdr:row>24</xdr:row>
      <xdr:rowOff>57150</xdr:rowOff>
    </xdr:from>
    <xdr:to>
      <xdr:col>11</xdr:col>
      <xdr:colOff>200025</xdr:colOff>
      <xdr:row>38</xdr:row>
      <xdr:rowOff>133350</xdr:rowOff>
    </xdr:to>
    <xdr:graphicFrame macro="">
      <xdr:nvGraphicFramePr>
        <xdr:cNvPr id="5" name="Chart 4">
          <a:extLst>
            <a:ext uri="{FF2B5EF4-FFF2-40B4-BE49-F238E27FC236}">
              <a16:creationId xmlns:a16="http://schemas.microsoft.com/office/drawing/2014/main" id="{77587AD6-D34D-46F4-8B4A-035C58A7C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57150</xdr:colOff>
      <xdr:row>31</xdr:row>
      <xdr:rowOff>152400</xdr:rowOff>
    </xdr:from>
    <xdr:to>
      <xdr:col>3</xdr:col>
      <xdr:colOff>57150</xdr:colOff>
      <xdr:row>45</xdr:row>
      <xdr:rowOff>9525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83BF241-78AB-1FD9-ED98-6F3B653C077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7150" y="6057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4</xdr:row>
      <xdr:rowOff>180975</xdr:rowOff>
    </xdr:from>
    <xdr:to>
      <xdr:col>3</xdr:col>
      <xdr:colOff>47625</xdr:colOff>
      <xdr:row>18</xdr:row>
      <xdr:rowOff>38100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16EA9406-E96A-41A6-BC5B-916E35E62D5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7625" y="942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18</xdr:row>
      <xdr:rowOff>114300</xdr:rowOff>
    </xdr:from>
    <xdr:to>
      <xdr:col>3</xdr:col>
      <xdr:colOff>66675</xdr:colOff>
      <xdr:row>31</xdr:row>
      <xdr:rowOff>28575</xdr:rowOff>
    </xdr:to>
    <mc:AlternateContent xmlns:mc="http://schemas.openxmlformats.org/markup-compatibility/2006">
      <mc:Choice xmlns:a14="http://schemas.microsoft.com/office/drawing/2010/main" Requires="a14">
        <xdr:graphicFrame macro="">
          <xdr:nvGraphicFramePr>
            <xdr:cNvPr id="9" name="SKU">
              <a:extLst>
                <a:ext uri="{FF2B5EF4-FFF2-40B4-BE49-F238E27FC236}">
                  <a16:creationId xmlns:a16="http://schemas.microsoft.com/office/drawing/2014/main" id="{FBFE05BF-75C6-E504-4AD2-4F7E4818E2A0}"/>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dr:sp macro="" textlink="">
          <xdr:nvSpPr>
            <xdr:cNvPr id="0" name=""/>
            <xdr:cNvSpPr>
              <a:spLocks noTextEdit="1"/>
            </xdr:cNvSpPr>
          </xdr:nvSpPr>
          <xdr:spPr>
            <a:xfrm>
              <a:off x="66675" y="3543300"/>
              <a:ext cx="1828800" cy="2390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238126</xdr:colOff>
      <xdr:row>4</xdr:row>
      <xdr:rowOff>133350</xdr:rowOff>
    </xdr:from>
    <xdr:to>
      <xdr:col>9</xdr:col>
      <xdr:colOff>590550</xdr:colOff>
      <xdr:row>7</xdr:row>
      <xdr:rowOff>171450</xdr:rowOff>
    </xdr:to>
    <xdr:sp macro="" textlink="">
      <xdr:nvSpPr>
        <xdr:cNvPr id="10" name="Rectangle: Rounded Corners 9">
          <a:extLst>
            <a:ext uri="{FF2B5EF4-FFF2-40B4-BE49-F238E27FC236}">
              <a16:creationId xmlns:a16="http://schemas.microsoft.com/office/drawing/2014/main" id="{0004216D-9BE3-BA17-8843-7974DF78DBC9}"/>
            </a:ext>
          </a:extLst>
        </xdr:cNvPr>
        <xdr:cNvSpPr/>
      </xdr:nvSpPr>
      <xdr:spPr>
        <a:xfrm>
          <a:off x="3895726" y="895350"/>
          <a:ext cx="2181224" cy="6096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200" b="1"/>
            <a:t>Region Total Gross Revenue</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10928845.72</a:t>
          </a:r>
          <a:r>
            <a:rPr lang="en-US" sz="1100">
              <a:solidFill>
                <a:schemeClr val="dk1"/>
              </a:solidFill>
              <a:effectLst/>
              <a:latin typeface="+mn-lt"/>
              <a:ea typeface="+mn-ea"/>
              <a:cs typeface="+mn-cs"/>
            </a:rPr>
            <a:t>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a:effectLst/>
          </a:endParaRPr>
        </a:p>
        <a:p>
          <a:pPr algn="l"/>
          <a:endParaRPr lang="en-US" sz="1200"/>
        </a:p>
      </xdr:txBody>
    </xdr:sp>
    <xdr:clientData/>
  </xdr:twoCellAnchor>
  <xdr:twoCellAnchor>
    <xdr:from>
      <xdr:col>10</xdr:col>
      <xdr:colOff>504826</xdr:colOff>
      <xdr:row>4</xdr:row>
      <xdr:rowOff>133350</xdr:rowOff>
    </xdr:from>
    <xdr:to>
      <xdr:col>13</xdr:col>
      <xdr:colOff>561976</xdr:colOff>
      <xdr:row>7</xdr:row>
      <xdr:rowOff>142875</xdr:rowOff>
    </xdr:to>
    <xdr:sp macro="" textlink="">
      <xdr:nvSpPr>
        <xdr:cNvPr id="11" name="Rectangle: Rounded Corners 10">
          <a:extLst>
            <a:ext uri="{FF2B5EF4-FFF2-40B4-BE49-F238E27FC236}">
              <a16:creationId xmlns:a16="http://schemas.microsoft.com/office/drawing/2014/main" id="{DCDF2B45-7C9B-4478-8CFB-A09FDFD5CC4C}"/>
            </a:ext>
          </a:extLst>
        </xdr:cNvPr>
        <xdr:cNvSpPr/>
      </xdr:nvSpPr>
      <xdr:spPr>
        <a:xfrm>
          <a:off x="6600826" y="895350"/>
          <a:ext cx="1885950" cy="58102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200" b="1"/>
            <a:t>Total Max</a:t>
          </a:r>
          <a:r>
            <a:rPr lang="en-US" sz="1200" b="1" baseline="0"/>
            <a:t> Discount Pct</a:t>
          </a:r>
        </a:p>
        <a:p>
          <a:pPr algn="l"/>
          <a:r>
            <a:rPr lang="en-US" sz="1100" b="1" i="0" u="none" strike="noStrike">
              <a:solidFill>
                <a:schemeClr val="dk1"/>
              </a:solidFill>
              <a:effectLst/>
              <a:latin typeface="+mn-lt"/>
              <a:ea typeface="+mn-ea"/>
              <a:cs typeface="+mn-cs"/>
            </a:rPr>
            <a:t>0.565</a:t>
          </a:r>
          <a:r>
            <a:rPr lang="en-US">
              <a:effectLst/>
            </a:rPr>
            <a:t> </a:t>
          </a:r>
          <a:endParaRPr lang="en-US" sz="1100"/>
        </a:p>
      </xdr:txBody>
    </xdr:sp>
    <xdr:clientData/>
  </xdr:twoCellAnchor>
  <xdr:twoCellAnchor>
    <xdr:from>
      <xdr:col>5</xdr:col>
      <xdr:colOff>66675</xdr:colOff>
      <xdr:row>0</xdr:row>
      <xdr:rowOff>123825</xdr:rowOff>
    </xdr:from>
    <xdr:to>
      <xdr:col>17</xdr:col>
      <xdr:colOff>476250</xdr:colOff>
      <xdr:row>3</xdr:row>
      <xdr:rowOff>142875</xdr:rowOff>
    </xdr:to>
    <xdr:sp macro="" textlink="">
      <xdr:nvSpPr>
        <xdr:cNvPr id="13" name="Rectangle: Rounded Corners 12">
          <a:extLst>
            <a:ext uri="{FF2B5EF4-FFF2-40B4-BE49-F238E27FC236}">
              <a16:creationId xmlns:a16="http://schemas.microsoft.com/office/drawing/2014/main" id="{2B96FFB5-DD6E-79CA-0226-F4174AA255F1}"/>
            </a:ext>
          </a:extLst>
        </xdr:cNvPr>
        <xdr:cNvSpPr/>
      </xdr:nvSpPr>
      <xdr:spPr>
        <a:xfrm>
          <a:off x="3114675" y="123825"/>
          <a:ext cx="7724775" cy="5905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800" b="1"/>
            <a:t>  	Sales Performance &amp; Scenario Dashboard (2025-2026)</a:t>
          </a:r>
        </a:p>
      </xdr:txBody>
    </xdr:sp>
    <xdr:clientData/>
  </xdr:twoCellAnchor>
  <xdr:twoCellAnchor>
    <xdr:from>
      <xdr:col>3</xdr:col>
      <xdr:colOff>523875</xdr:colOff>
      <xdr:row>9</xdr:row>
      <xdr:rowOff>9525</xdr:rowOff>
    </xdr:from>
    <xdr:to>
      <xdr:col>11</xdr:col>
      <xdr:colOff>219075</xdr:colOff>
      <xdr:row>23</xdr:row>
      <xdr:rowOff>85725</xdr:rowOff>
    </xdr:to>
    <xdr:graphicFrame macro="">
      <xdr:nvGraphicFramePr>
        <xdr:cNvPr id="14" name="Chart 13">
          <a:extLst>
            <a:ext uri="{FF2B5EF4-FFF2-40B4-BE49-F238E27FC236}">
              <a16:creationId xmlns:a16="http://schemas.microsoft.com/office/drawing/2014/main" id="{2A427FD3-8847-43BD-BE9C-A4DD1E5D9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533400</xdr:colOff>
      <xdr:row>4</xdr:row>
      <xdr:rowOff>114300</xdr:rowOff>
    </xdr:from>
    <xdr:to>
      <xdr:col>17</xdr:col>
      <xdr:colOff>590550</xdr:colOff>
      <xdr:row>7</xdr:row>
      <xdr:rowOff>161925</xdr:rowOff>
    </xdr:to>
    <xdr:sp macro="" textlink="">
      <xdr:nvSpPr>
        <xdr:cNvPr id="15" name="Rectangle: Rounded Corners 14">
          <a:extLst>
            <a:ext uri="{FF2B5EF4-FFF2-40B4-BE49-F238E27FC236}">
              <a16:creationId xmlns:a16="http://schemas.microsoft.com/office/drawing/2014/main" id="{FA488447-0852-48F9-B3B7-6080D1A9519C}"/>
            </a:ext>
          </a:extLst>
        </xdr:cNvPr>
        <xdr:cNvSpPr/>
      </xdr:nvSpPr>
      <xdr:spPr>
        <a:xfrm>
          <a:off x="9067800" y="876300"/>
          <a:ext cx="1885950" cy="619125"/>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1200" b="1"/>
            <a:t>Total Country Gross Profit</a:t>
          </a:r>
          <a:r>
            <a:rPr lang="en-US">
              <a:effectLst/>
            </a:rPr>
            <a:t> </a:t>
          </a:r>
          <a:r>
            <a:rPr lang="en-US" sz="1100" b="1" i="0" u="none" strike="noStrike">
              <a:solidFill>
                <a:schemeClr val="dk1"/>
              </a:solidFill>
              <a:effectLst/>
              <a:latin typeface="+mn-lt"/>
              <a:ea typeface="+mn-ea"/>
              <a:cs typeface="+mn-cs"/>
            </a:rPr>
            <a:t>4042734.977</a:t>
          </a:r>
          <a:r>
            <a:rPr lang="en-US" sz="1200">
              <a:effectLst/>
            </a:rPr>
            <a:t> </a:t>
          </a:r>
          <a:r>
            <a:rPr lang="en-US">
              <a:effectLst/>
            </a:rPr>
            <a:t> </a:t>
          </a:r>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48.020685300929" createdVersion="8" refreshedVersion="8" minRefreshableVersion="3" recordCount="632" xr:uid="{E1BA63F4-B1AA-40C9-BFA7-06BEADA1EA06}">
  <cacheSource type="worksheet">
    <worksheetSource ref="A1:U633" sheet="Data"/>
  </cacheSource>
  <cacheFields count="22">
    <cacheField name="OrderID" numFmtId="0">
      <sharedItems/>
    </cacheField>
    <cacheField name="OrderDate" numFmtId="164">
      <sharedItems containsSemiMixedTypes="0" containsNonDate="0" containsDate="1" containsString="0" minDate="2023-01-02T00:00:00" maxDate="2025-09-16T00:00:00"/>
    </cacheField>
    <cacheField name="RequiredDate" numFmtId="16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0">
      <sharedItems/>
    </cacheField>
    <cacheField name="CustomerSegment" numFmtId="0">
      <sharedItems/>
    </cacheField>
    <cacheField name="Channel" numFmtId="0">
      <sharedItems/>
    </cacheField>
    <cacheField name="Salesperson" numFmtId="0">
      <sharedItems count="16">
        <s v="C. Otieno"/>
        <s v="J. Njeri"/>
        <s v="I. Johnson"/>
        <s v="G. Dubois"/>
        <s v="L. Okafor"/>
        <s v="B. Chen"/>
        <s v="E. Garcia"/>
        <s v="O. Wang"/>
        <s v="A. Patel"/>
        <s v="F. Müller"/>
        <s v="H. Kim"/>
        <s v="K. Singh"/>
        <s v="M. Rossi"/>
        <s v="N. Brown"/>
        <s v="D. Smith"/>
        <s v="Unknown"/>
      </sharedItems>
    </cacheField>
    <cacheField name="ProductCategory" numFmtId="0">
      <sharedItems/>
    </cacheField>
    <cacheField name="SKU" numFmtId="0">
      <sharedItems count="630">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sharedItems>
    </cacheField>
    <cacheField name="UnitCost" numFmtId="0">
      <sharedItems containsSemiMixedTypes="0" containsString="0" containsNumber="1" minValue="5.34" maxValue="1495.79"/>
    </cacheField>
    <cacheField name="UnitPrice" numFmtId="0">
      <sharedItems containsSemiMixedTypes="0" containsString="0" containsNumber="1" minValue="-33.659999999999997" maxValue="3661.07"/>
    </cacheField>
    <cacheField name="DiscountPct" numFmtId="0">
      <sharedItems containsSemiMixedTypes="0" containsString="0" containsNumber="1" minValue="0" maxValue="0.56499999999999995"/>
    </cacheField>
    <cacheField name="Quantity" numFmtId="0">
      <sharedItems containsSemiMixedTypes="0" containsString="0" containsNumber="1" containsInteger="1" minValue="2" maxValue="61"/>
    </cacheField>
    <cacheField name="GrossRevenue" numFmtId="0">
      <sharedItems containsSemiMixedTypes="0" containsString="0" containsNumber="1" minValue="18.659839999999999" maxValue="139277.83032000001" count="632">
        <n v="4866.3287999999993"/>
        <n v="17960.432489999999"/>
        <n v="319.72248000000002"/>
        <n v="5225.2710400000005"/>
        <n v="10957.9797"/>
        <n v="4141.7599999999993"/>
        <n v="2886.4496399999998"/>
        <n v="685.06776000000002"/>
        <n v="14714.12934"/>
        <n v="60928.502359999999"/>
        <n v="16006.14344"/>
        <n v="10370.549999999999"/>
        <n v="4968.5039999999999"/>
        <n v="21585.15"/>
        <n v="7578.84"/>
        <n v="7090.5672000000004"/>
        <n v="25948.414799999995"/>
        <n v="35367.211040000002"/>
        <n v="38096.18406"/>
        <n v="39263.702919999996"/>
        <n v="23782.310720000001"/>
        <n v="19903.585040000002"/>
        <n v="10936.992"/>
        <n v="20225.2248"/>
        <n v="24894.430559999997"/>
        <n v="8596.2905599999995"/>
        <n v="1756.6999999999998"/>
        <n v="3980.7075"/>
        <n v="3913.2000000000003"/>
        <n v="20084.133720000002"/>
        <n v="9805.8573800000013"/>
        <n v="26150.364320000001"/>
        <n v="9647.3852800000004"/>
        <n v="13218.5"/>
        <n v="27331.829999999998"/>
        <n v="6631.6443100000006"/>
        <n v="18957.37689"/>
        <n v="11995.153920000001"/>
        <n v="14968.239"/>
        <n v="3562.1983800000003"/>
        <n v="41106.800970000004"/>
        <n v="10558.74"/>
        <n v="30596.565999999999"/>
        <n v="10666.229420000001"/>
        <n v="17930.494560000003"/>
        <n v="32506.559399999998"/>
        <n v="7135.57"/>
        <n v="109244"/>
        <n v="35621.302319999995"/>
        <n v="34444.462359999998"/>
        <n v="14894.903999999999"/>
        <n v="599.53200000000004"/>
        <n v="5785.8"/>
        <n v="2518.8755800000004"/>
        <n v="215.19839999999996"/>
        <n v="31680.795320000001"/>
        <n v="29659.68995"/>
        <n v="4790.1068000000005"/>
        <n v="272.98599999999999"/>
        <n v="4569.8508000000002"/>
        <n v="33687.501800000005"/>
        <n v="27701.570400000001"/>
        <n v="10947.904"/>
        <n v="72665.817450000002"/>
        <n v="26304.275999999998"/>
        <n v="12153.267360000002"/>
        <n v="16013.681599999998"/>
        <n v="14287.896349999999"/>
        <n v="8671.7354400000004"/>
        <n v="8930.7124999999996"/>
        <n v="10647.727199999999"/>
        <n v="6393.0952799999995"/>
        <n v="20171.63305"/>
        <n v="9373.460219999999"/>
        <n v="4427.9172000000008"/>
        <n v="6874.4828600000001"/>
        <n v="35396.277799999996"/>
        <n v="33062.236480000007"/>
        <n v="10455.7932"/>
        <n v="4877.1379800000004"/>
        <n v="60292.805299999993"/>
        <n v="18258.868320000001"/>
        <n v="5331.6696000000002"/>
        <n v="524.81174999999996"/>
        <n v="21062.61248"/>
        <n v="13146.470699999998"/>
        <n v="14197.064400000001"/>
        <n v="1654.8966000000003"/>
        <n v="11842.8464"/>
        <n v="624.43503999999996"/>
        <n v="8324.8326000000015"/>
        <n v="19510.808000000001"/>
        <n v="10161.46624"/>
        <n v="20079.343620000003"/>
        <n v="5487.6023999999998"/>
        <n v="43209.006119999991"/>
        <n v="147.00756000000001"/>
        <n v="34139.159999999996"/>
        <n v="5328.4890400000004"/>
        <n v="25502.910479999999"/>
        <n v="52780.07"/>
        <n v="6324.5775999999996"/>
        <n v="13669.81"/>
        <n v="5960.3340000000007"/>
        <n v="12335.654849999999"/>
        <n v="12080.215199999999"/>
        <n v="518.65436999999997"/>
        <n v="23687.524440000001"/>
        <n v="1660.3999999999999"/>
        <n v="549.80010000000004"/>
        <n v="27676.35"/>
        <n v="30151.675319999998"/>
        <n v="34.689059999999998"/>
        <n v="2117.4834999999998"/>
        <n v="1499.22"/>
        <n v="24523.006720000001"/>
        <n v="765.99195000000009"/>
        <n v="65119.329599999997"/>
        <n v="5769.2758000000003"/>
        <n v="592.92849000000001"/>
        <n v="39516.804389999998"/>
        <n v="22983.34563"/>
        <n v="16061.972879999999"/>
        <n v="10817.3416"/>
        <n v="2072.9258400000003"/>
        <n v="8909.8587200000002"/>
        <n v="65111.38614000001"/>
        <n v="853.32276999999988"/>
        <n v="2642.1686999999997"/>
        <n v="16071.44868"/>
        <n v="7703.8640800000003"/>
        <n v="4417.8334199999999"/>
        <n v="8336.8896000000004"/>
        <n v="3494.4040799999998"/>
        <n v="12031.491680000001"/>
        <n v="27370.540859999997"/>
        <n v="9698.1638399999993"/>
        <n v="4336.2427499999994"/>
        <n v="35567.737920000007"/>
        <n v="1446.9507000000001"/>
        <n v="87404.929919999995"/>
        <n v="8211.6342000000004"/>
        <n v="32086.37586"/>
        <n v="9969.4201499999999"/>
        <n v="25672.127039999999"/>
        <n v="12954.358080000002"/>
        <n v="3562.9028999999996"/>
        <n v="13321.14"/>
        <n v="14877.464000000002"/>
        <n v="42495.805439999996"/>
        <n v="7901.5041599999995"/>
        <n v="21572.590500000002"/>
        <n v="4139.8127999999997"/>
        <n v="29654.83008"/>
        <n v="11015.510400000003"/>
        <n v="8909.6646800000017"/>
        <n v="7203.8047000000006"/>
        <n v="24147.922500000001"/>
        <n v="10382.65884"/>
        <n v="29263.754519999995"/>
        <n v="22044.871499999997"/>
        <n v="5650.1744000000008"/>
        <n v="8154.5511600000009"/>
        <n v="12194.714"/>
        <n v="11851.806399999999"/>
        <n v="85637.740319999997"/>
        <n v="14448.298699999998"/>
        <n v="12413.98458"/>
        <n v="6824.2884000000004"/>
        <n v="2316.2621999999997"/>
        <n v="14549.029120000001"/>
        <n v="8928.9795999999988"/>
        <n v="97.0154"/>
        <n v="31556.187599999997"/>
        <n v="1952.6356799999999"/>
        <n v="92715.25"/>
        <n v="15656.47056"/>
        <n v="321.93290999999999"/>
        <n v="7098.5495999999994"/>
        <n v="4420.5961799999995"/>
        <n v="18.659839999999999"/>
        <n v="41352.246200000009"/>
        <n v="7689.4560000000001"/>
        <n v="8698.8768300000011"/>
        <n v="26408.63841"/>
        <n v="10388.429999999998"/>
        <n v="4831.9464600000001"/>
        <n v="26759.28775"/>
        <n v="28072.190160000002"/>
        <n v="8590.7094000000016"/>
        <n v="19542.975350000001"/>
        <n v="8763.2849999999999"/>
        <n v="24374.594880000001"/>
        <n v="4402.1164799999997"/>
        <n v="3928.3797600000003"/>
        <n v="31191.64716"/>
        <n v="21679.749799999998"/>
        <n v="11326.846439999999"/>
        <n v="8349.2224200000001"/>
        <n v="55880.483749999999"/>
        <n v="14963.769179999999"/>
        <n v="4637.7968000000001"/>
        <n v="25299.040000000001"/>
        <n v="47962.717579999997"/>
        <n v="25553.782800000001"/>
        <n v="26131.70736"/>
        <n v="6702.3501999999999"/>
        <n v="28386.015839999996"/>
        <n v="15825.399369999997"/>
        <n v="17847.907199999998"/>
        <n v="18061.204320000004"/>
        <n v="1774.8072"/>
        <n v="6984.8246399999998"/>
        <n v="24223.05"/>
        <n v="7854.6693599999999"/>
        <n v="15253.069799999999"/>
        <n v="7738.9596900000006"/>
        <n v="2231.6467200000002"/>
        <n v="6535.6324800000002"/>
        <n v="28211.92124"/>
        <n v="13519.529099999998"/>
        <n v="908.03700000000003"/>
        <n v="4503.4363999999996"/>
        <n v="66988.771199999988"/>
        <n v="15490.527"/>
        <n v="21573.6495"/>
        <n v="30479.418970000002"/>
        <n v="5533.6230000000005"/>
        <n v="16609.090809999998"/>
        <n v="7446.5209000000004"/>
        <n v="667.15008"/>
        <n v="5814.6927299999998"/>
        <n v="2879.9836"/>
        <n v="5280.8577599999999"/>
        <n v="14269.848599999999"/>
        <n v="17359.804799999998"/>
        <n v="37038.581760000001"/>
        <n v="139277.83032000001"/>
        <n v="6684.1875"/>
        <n v="3823.5108"/>
        <n v="4436.6291200000005"/>
        <n v="9684.8756000000012"/>
        <n v="34082.864639999993"/>
        <n v="748.22303999999997"/>
        <n v="12248.675999999999"/>
        <n v="2909.8689199999999"/>
        <n v="9774.3888000000006"/>
        <n v="607.30668000000003"/>
        <n v="3592.04"/>
        <n v="11813.604160000001"/>
        <n v="12186.368600000002"/>
        <n v="17453.3436"/>
        <n v="17689.623"/>
        <n v="25483.91488"/>
        <n v="6468.2751599999992"/>
        <n v="24161.205600000001"/>
        <n v="19073.059649999999"/>
        <n v="2394.1605599999998"/>
        <n v="4375.3620000000001"/>
        <n v="7568.9632000000001"/>
        <n v="22882.675440000003"/>
        <n v="17964.4038"/>
        <n v="8186.057600000001"/>
        <n v="560.36831999999993"/>
        <n v="40139.874619999995"/>
        <n v="12597.52224"/>
        <n v="38818.760160000005"/>
        <n v="17594.028880000002"/>
        <n v="6946.8"/>
        <n v="7678.2113999999992"/>
        <n v="7235.2134999999998"/>
        <n v="7120.6486400000003"/>
        <n v="34632.106319999999"/>
        <n v="29536.716"/>
        <n v="11417.429099999999"/>
        <n v="8567.3924999999999"/>
        <n v="79548.755999999994"/>
        <n v="6066.54648"/>
        <n v="34840.344000000005"/>
        <n v="8907.6924999999992"/>
        <n v="17441.021520000002"/>
        <n v="13035.970220000001"/>
        <n v="667.74"/>
        <n v="11696.156879999999"/>
        <n v="15505.479600000001"/>
        <n v="3978.6474000000003"/>
        <n v="76.138720000000006"/>
        <n v="20028.787380000002"/>
        <n v="26765.040239999998"/>
        <n v="10456.416880000001"/>
        <n v="19066.045319999997"/>
        <n v="1098.9470800000001"/>
        <n v="23375.594060000003"/>
        <n v="7382.1450000000004"/>
        <n v="8903.4839999999986"/>
        <n v="20455.985130000001"/>
        <n v="4241.88105"/>
        <n v="3190.8713200000002"/>
        <n v="66.920760000000001"/>
        <n v="12699.28"/>
        <n v="25577.274079999999"/>
        <n v="9866.3104799999983"/>
        <n v="39686.4182"/>
        <n v="8093.4784"/>
        <n v="5932.7856000000002"/>
        <n v="1641.7107199999998"/>
        <n v="43084.872000000003"/>
        <n v="3644.3212800000006"/>
        <n v="5334.9141999999993"/>
        <n v="9847.2358600000007"/>
        <n v="30799.273800000003"/>
        <n v="879.05840000000001"/>
        <n v="11283.400799999999"/>
        <n v="40325.31"/>
        <n v="5032.4433599999993"/>
        <n v="8780.5809000000008"/>
        <n v="9062.34692"/>
        <n v="16306.59375"/>
        <n v="2915.4540999999999"/>
        <n v="53034.364139999991"/>
        <n v="22380.204000000002"/>
        <n v="7493.1076000000012"/>
        <n v="39546.774539999999"/>
        <n v="703.2428000000001"/>
        <n v="26015.449459999996"/>
        <n v="9829.0483199999999"/>
        <n v="2373.9623200000001"/>
        <n v="3799.8031499999997"/>
        <n v="6229.7423999999992"/>
        <n v="27756.432000000001"/>
        <n v="2537.2908000000002"/>
        <n v="8764.4065599999994"/>
        <n v="7105.3528000000006"/>
        <n v="5610.0923999999995"/>
        <n v="4856.35725"/>
        <n v="16219.34496"/>
        <n v="28247.74656"/>
        <n v="38535.955099999999"/>
        <n v="3021.5016000000001"/>
        <n v="26106.613960000002"/>
        <n v="17067.938400000003"/>
        <n v="1115.1975999999997"/>
        <n v="20053.439999999999"/>
        <n v="8938.8996600000009"/>
        <n v="3175.1547799999998"/>
        <n v="13637.287999999999"/>
        <n v="79082.507010000001"/>
        <n v="2206.8000000000002"/>
        <n v="27158.894079999998"/>
        <n v="12236.874600000001"/>
        <n v="4132.0325200000007"/>
        <n v="16487.22781"/>
        <n v="26552.60298"/>
        <n v="34816.968000000001"/>
        <n v="1122.0896000000002"/>
        <n v="23195.01828"/>
        <n v="43907.94"/>
        <n v="49336.511399999996"/>
        <n v="4071.8"/>
        <n v="14813.731920000002"/>
        <n v="35167.7448"/>
        <n v="4804.4682400000002"/>
        <n v="82514.711519999997"/>
        <n v="7327.9533600000004"/>
        <n v="12717.311040000001"/>
        <n v="21584.693520000001"/>
        <n v="19547.329920000004"/>
        <n v="18554.370299999999"/>
        <n v="13784.586000000001"/>
        <n v="4569.5735999999997"/>
        <n v="4133.25108"/>
        <n v="16873.45"/>
        <n v="32280.32474"/>
        <n v="4117.4880599999997"/>
        <n v="31005.24768"/>
        <n v="38422.022320000004"/>
        <n v="43553.493060000001"/>
        <n v="15348.702599999999"/>
        <n v="6576.298960000001"/>
        <n v="33200.038079999998"/>
        <n v="11332.142999999998"/>
        <n v="12881.097599999999"/>
        <n v="37562.28"/>
        <n v="47693.373"/>
        <n v="15257.51748"/>
        <n v="22064.910300000003"/>
        <n v="9586.8057599999993"/>
        <n v="19773.362699999998"/>
        <n v="14108.16791"/>
        <n v="434.45248000000004"/>
        <n v="16142.527829999999"/>
        <n v="2525.0635000000002"/>
        <n v="48097.911050000002"/>
        <n v="11285.764020000001"/>
        <n v="19800.88896"/>
        <n v="14431.738420000001"/>
        <n v="56176.777799999996"/>
        <n v="18641.222160000001"/>
        <n v="13185.543"/>
        <n v="12972.00222"/>
        <n v="17731.623"/>
        <n v="17427.164800000002"/>
        <n v="16946.091840000001"/>
        <n v="5250.4239000000007"/>
        <n v="7832.0010999999995"/>
        <n v="13437.300239999999"/>
        <n v="22457.143800000002"/>
        <n v="21541.017959999997"/>
        <n v="4679.7141600000004"/>
        <n v="23668.560000000001"/>
        <n v="5323.9903199999999"/>
        <n v="6899.8804600000003"/>
        <n v="2059.0056"/>
        <n v="16134.22069"/>
        <n v="31513.423040000001"/>
        <n v="18411.4084"/>
        <n v="10893.6232"/>
        <n v="7969.4615000000003"/>
        <n v="741.43835999999999"/>
        <n v="9509.2865999999995"/>
        <n v="14527.748400000002"/>
        <n v="9984.7160999999978"/>
        <n v="102122.94203999999"/>
        <n v="29627.320319999999"/>
        <n v="58091.634960000003"/>
        <n v="15366.983199999999"/>
        <n v="30435.614999999998"/>
        <n v="19637.76528"/>
        <n v="13450.74"/>
        <n v="41138.261999999995"/>
        <n v="12955.824749999998"/>
        <n v="58057.65"/>
        <n v="2627.6239999999998"/>
        <n v="12967.958640000001"/>
        <n v="1950.0031200000001"/>
        <n v="27249"/>
        <n v="5546.4642200000008"/>
        <n v="7340.3891399999993"/>
        <n v="24278.849280000002"/>
        <n v="2795.6384399999997"/>
        <n v="20672.289000000001"/>
        <n v="12668.50728"/>
        <n v="31513.085009999999"/>
        <n v="5960.04288"/>
        <n v="21664.440000000002"/>
        <n v="1925.29872"/>
        <n v="9771.4483199999995"/>
        <n v="5565.3272500000003"/>
        <n v="45547.183360000003"/>
        <n v="12289.2"/>
        <n v="12462.65055"/>
        <n v="19628.476999999999"/>
        <n v="23694.405119999999"/>
        <n v="11984.891250000001"/>
        <n v="23132.398349999996"/>
        <n v="14752.706080000002"/>
        <n v="20797.98"/>
        <n v="7854.6931199999999"/>
        <n v="7643.2649999999994"/>
        <n v="24321.57"/>
        <n v="1662.6945600000001"/>
        <n v="930.17574000000002"/>
        <n v="4055.5175999999997"/>
        <n v="1886.9915999999998"/>
        <n v="1808.04592"/>
        <n v="84136.119600000005"/>
        <n v="2719.8567000000003"/>
        <n v="14261.92439"/>
        <n v="25269.09"/>
        <n v="16252.219979999998"/>
        <n v="10428.057360000001"/>
        <n v="36549.429260000004"/>
        <n v="15374.563199999999"/>
        <n v="8330.2513199999994"/>
        <n v="19233.355499999998"/>
        <n v="27194.152039999997"/>
        <n v="1009.2969000000002"/>
        <n v="4212.3745999999992"/>
        <n v="41914.215840000004"/>
        <n v="22620.859800000002"/>
        <n v="40488.792960000006"/>
        <n v="4738.5261"/>
        <n v="36161.097000000002"/>
        <n v="5127.0390600000001"/>
        <n v="21908.731650000002"/>
        <n v="6063.2517199999993"/>
        <n v="5159.7893599999998"/>
        <n v="28856.475000000002"/>
        <n v="4025.8565599999993"/>
        <n v="9614.4403999999995"/>
        <n v="1547.3500000000001"/>
        <n v="6664.0999999999995"/>
        <n v="7507.4514899999995"/>
        <n v="110.14919999999999"/>
        <n v="11859.695119999998"/>
        <n v="4682.9519799999998"/>
        <n v="30692.47896"/>
        <n v="25249.613219999999"/>
        <n v="8644.6696000000011"/>
        <n v="16574.544740000001"/>
        <n v="20332.775539999999"/>
        <n v="7428.1108999999988"/>
        <n v="10869.182940000001"/>
        <n v="8637.1874499999994"/>
        <n v="10189.8891"/>
        <n v="32335.21802"/>
        <n v="34800.431400000001"/>
        <n v="15323.926799999999"/>
        <n v="3921.1744000000008"/>
        <n v="8297.4286000000011"/>
        <n v="9232.2830599999998"/>
        <n v="3525.5505600000001"/>
        <n v="50296.415399999998"/>
        <n v="5189.8836000000001"/>
        <n v="33308.550000000003"/>
        <n v="10859.64"/>
        <n v="22201.762229999997"/>
        <n v="1010.3759200000001"/>
        <n v="9807.7842799999999"/>
        <n v="855.72881999999993"/>
        <n v="7399.4832000000006"/>
        <n v="64192.976999999999"/>
        <n v="22526.66"/>
        <n v="16121.273400000002"/>
        <n v="6435.2555999999995"/>
        <n v="8326.6852500000005"/>
        <n v="2146.5580500000001"/>
        <n v="11406.96"/>
        <n v="58526.83122"/>
        <n v="33421.1"/>
        <n v="9262.0686600000008"/>
        <n v="618.19979999999987"/>
        <n v="534.57695999999999"/>
        <n v="11924.0978"/>
        <n v="42433.254400000005"/>
        <n v="15155.326800000001"/>
        <n v="7823.4472399999995"/>
        <n v="50958.766320000002"/>
        <n v="20430.771599999996"/>
        <n v="66260.314239999992"/>
        <n v="3340.6370000000002"/>
        <n v="19581.87"/>
        <n v="30652.403519999996"/>
        <n v="4737.2198399999997"/>
        <n v="14114.068500000001"/>
        <n v="10792.637119999999"/>
        <n v="4826.5396199999996"/>
        <n v="15530.929919999999"/>
        <n v="31822.023930000003"/>
        <n v="10937.519999999999"/>
        <n v="29673.454499999993"/>
        <n v="1846.8040799999999"/>
        <n v="18830.12472"/>
        <n v="20163.409200000002"/>
        <n v="15860.782080000001"/>
        <n v="33551.927499999998"/>
        <n v="46450.26"/>
        <n v="50545.319219999998"/>
        <n v="10519.776450000001"/>
        <n v="13108.78584"/>
        <n v="13251.48"/>
        <n v="6766.9829999999993"/>
        <n v="33071.3145"/>
        <n v="8520.2954399999999"/>
        <n v="10166.535600000001"/>
        <n v="4229.4321199999995"/>
        <n v="17540.201120000002"/>
        <n v="44173.627960000005"/>
        <n v="25079.480689999997"/>
        <n v="34307.159999999996"/>
        <n v="3378.1478400000001"/>
        <n v="4577.1480000000001"/>
        <n v="841.00536"/>
        <n v="19139.594240000002"/>
        <n v="14466.95104"/>
        <n v="496.98660000000001"/>
        <n v="12091.190399999999"/>
        <n v="13882.6016"/>
        <n v="6732.4334000000008"/>
        <n v="4280.6786400000001"/>
        <n v="7173.3342799999991"/>
        <n v="6137.8019999999988"/>
        <n v="1801.4076000000002"/>
        <n v="40563.321749999996"/>
        <n v="3823.6151599999998"/>
        <n v="22676.312610000001"/>
        <n v="370.86"/>
        <n v="25131.155999999999"/>
        <n v="68665.574250000005"/>
        <n v="12040.64352"/>
        <n v="9022.35"/>
        <n v="11742.8703"/>
        <n v="51768.181920000003"/>
        <n v="5725.6496000000006"/>
        <n v="8366.02"/>
        <n v="14910.609600000002"/>
        <n v="8128.5187499999993"/>
        <n v="3116.21"/>
        <n v="4409.5168800000001"/>
        <n v="5962.1422499999999"/>
        <n v="33938.142760000002"/>
        <n v="7466.3063999999986"/>
        <n v="1062.5902000000001"/>
        <n v="39810.328000000001"/>
        <n v="5457.4317000000001"/>
        <n v="7071.6331400000008"/>
        <n v="13856.52411"/>
        <n v="29175.036029999999"/>
        <n v="2736.27018"/>
        <n v="2077.46"/>
        <n v="10260.060159999999"/>
        <n v="18003.847679999999"/>
        <n v="9256.14"/>
        <n v="82141.339799999987"/>
        <n v="18500.693520000001"/>
        <n v="10464.138360000001"/>
        <n v="10786.32144"/>
        <n v="846.34703999999988"/>
        <n v="25174.028880000002"/>
        <n v="41419.524249999995"/>
        <n v="1030.7574"/>
        <n v="2355.2113199999999"/>
        <n v="30229.994880000002"/>
        <n v="10693.88488"/>
        <n v="50090.397499999999"/>
        <n v="32704.386400000003"/>
        <n v="13983.752729999998"/>
        <n v="5096.4790800000001"/>
        <n v="33017.42"/>
        <n v="40476.013200000001"/>
        <n v="12769.38768"/>
        <n v="266.17821999999995"/>
      </sharedItems>
    </cacheField>
    <cacheField name="CostOfGoods" numFmtId="0">
      <sharedItems containsSemiMixedTypes="0" containsString="0" containsNumber="1" minValue="22" maxValue="83258.290000000008"/>
    </cacheField>
    <cacheField name="GrossProfit" numFmtId="0">
      <sharedItems containsSemiMixedTypes="0" containsString="0" containsNumber="1" minValue="0.36755999999999744" maxValue="68355.013999999996"/>
    </cacheField>
    <cacheField name="MarginPct" numFmtId="0">
      <sharedItems containsSemiMixedTypes="0" containsString="0" containsNumber="1" minValue="1.7545694604582242E-3" maxValue="250.39750756449047"/>
    </cacheField>
    <cacheField name="Month" numFmtId="0">
      <sharedItems count="33">
        <s v="Mar-2024"/>
        <s v="Oct-2024"/>
        <s v="Feb-2023"/>
        <s v="Mar-2025"/>
        <s v="Dec-2023"/>
        <s v="Jan-2023"/>
        <s v="Dec-2024"/>
        <s v="May-2024"/>
        <s v="May-2025"/>
        <s v="Jan-2024"/>
        <s v="Jan-2025"/>
        <s v="Sep-2025"/>
        <s v="Apr-2023"/>
        <s v="Jul-2025"/>
        <s v="Jul-2024"/>
        <s v="May-2023"/>
        <s v="Jun-2025"/>
        <s v="Jun-2024"/>
        <s v="Nov-2024"/>
        <s v="Apr-2025"/>
        <s v="Apr-2024"/>
        <s v="Aug-2024"/>
        <s v="Mar-2023"/>
        <s v="Jun-2023"/>
        <s v="Jul-2023"/>
        <s v="Aug-2023"/>
        <s v="Feb-2025"/>
        <s v="Sep-2023"/>
        <s v="Aug-2025"/>
        <s v="Sep-2024"/>
        <s v="Nov-2023"/>
        <s v="Feb-2024"/>
        <s v="Oct-2023"/>
      </sharedItems>
    </cacheField>
    <cacheField name="Field1" numFmtId="0" formula=" 0" databaseField="0"/>
  </cacheFields>
  <extLst>
    <ext xmlns:x14="http://schemas.microsoft.com/office/spreadsheetml/2009/9/main" uri="{725AE2AE-9491-48be-B2B4-4EB974FC3084}">
      <x14:pivotCacheDefinition pivotCacheId="4130931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4-275203"/>
    <d v="2024-03-11T00:00:00"/>
    <d v="2024-04-06T00:00:00"/>
    <n v="26"/>
    <x v="0"/>
    <x v="0"/>
    <s v="Kisumu"/>
    <s v="Corporate"/>
    <s v="Retail"/>
    <x v="0"/>
    <s v="Components"/>
    <x v="0"/>
    <n v="279.24"/>
    <n v="608.9"/>
    <n v="0.112"/>
    <n v="9"/>
    <x v="0"/>
    <n v="2513.16"/>
    <n v="2353.1687999999995"/>
    <n v="0.48356140670149533"/>
    <x v="0"/>
  </r>
  <r>
    <s v="ORD-2024-358795"/>
    <d v="2024-10-23T00:00:00"/>
    <d v="2024-10-22T00:00:00"/>
    <n v="1"/>
    <x v="0"/>
    <x v="1"/>
    <s v="Port Harcourt"/>
    <s v="Education"/>
    <s v="Online"/>
    <x v="1"/>
    <s v="Printers"/>
    <x v="1"/>
    <n v="1084.3900000000001"/>
    <n v="759.33"/>
    <n v="0.23699999999999999"/>
    <n v="31"/>
    <x v="1"/>
    <n v="33616.090000000004"/>
    <n v="15655.657510000005"/>
    <n v="0.87167486187856302"/>
    <x v="1"/>
  </r>
  <r>
    <s v="ORD-2023-373538"/>
    <d v="2023-02-28T00:00:00"/>
    <d v="2023-03-25T00:00:00"/>
    <n v="25"/>
    <x v="0"/>
    <x v="0"/>
    <s v="Nairobi"/>
    <s v="Corporate"/>
    <s v="Retail"/>
    <x v="2"/>
    <s v="Networking"/>
    <x v="2"/>
    <n v="1460.76"/>
    <n v="-30.66"/>
    <n v="0.13100000000000001"/>
    <n v="12"/>
    <x v="2"/>
    <n v="17529.12"/>
    <n v="17209.397519999999"/>
    <n v="53.826047890032626"/>
    <x v="2"/>
  </r>
  <r>
    <s v="ORD-2025-168148"/>
    <d v="2025-03-29T00:00:00"/>
    <d v="2025-04-02T00:00:00"/>
    <n v="4"/>
    <x v="0"/>
    <x v="1"/>
    <s v="Lagos"/>
    <s v="Non-Profit"/>
    <s v="Marketplace"/>
    <x v="3"/>
    <s v="Phones"/>
    <x v="3"/>
    <n v="259.93"/>
    <n v="255.94"/>
    <n v="7.1999999999999995E-2"/>
    <n v="22"/>
    <x v="3"/>
    <n v="5718.46"/>
    <n v="493.1889599999995"/>
    <n v="9.4385335463861311E-2"/>
    <x v="3"/>
  </r>
  <r>
    <s v="ORD-2023-824839"/>
    <d v="2023-12-06T00:00:00"/>
    <d v="2023-12-31T00:00:00"/>
    <n v="25"/>
    <x v="1"/>
    <x v="2"/>
    <s v="Osaka"/>
    <s v="Consumer"/>
    <s v="Retail"/>
    <x v="4"/>
    <s v="Printers"/>
    <x v="4"/>
    <n v="663.03"/>
    <n v="813.51"/>
    <n v="0.10199999999999999"/>
    <n v="15"/>
    <x v="4"/>
    <n v="9945.4499999999989"/>
    <n v="1012.529700000001"/>
    <n v="9.2401129379715952E-2"/>
    <x v="4"/>
  </r>
  <r>
    <s v="ORD-2023-723587"/>
    <d v="2023-01-02T00:00:00"/>
    <d v="2023-01-05T00:00:00"/>
    <n v="3"/>
    <x v="2"/>
    <x v="3"/>
    <s v="Toronto"/>
    <s v="Corporate"/>
    <s v="Distributor"/>
    <x v="5"/>
    <s v="Laptops"/>
    <x v="5"/>
    <n v="315.87"/>
    <n v="591.67999999999995"/>
    <n v="0"/>
    <n v="7"/>
    <x v="5"/>
    <n v="2211.09"/>
    <n v="1930.6699999999992"/>
    <n v="0.46614724175229844"/>
    <x v="5"/>
  </r>
  <r>
    <s v="ORD-2024-336584"/>
    <d v="2024-12-27T00:00:00"/>
    <d v="2025-01-14T00:00:00"/>
    <n v="18"/>
    <x v="1"/>
    <x v="4"/>
    <s v="Bengaluru"/>
    <s v="Small Business"/>
    <s v="Marketplace"/>
    <x v="6"/>
    <s v="Monitors"/>
    <x v="6"/>
    <n v="586.07000000000005"/>
    <n v="845.97"/>
    <n v="0.14699999999999999"/>
    <n v="4"/>
    <x v="6"/>
    <n v="2344.2800000000002"/>
    <n v="542.16963999999962"/>
    <n v="0.18783270370862928"/>
    <x v="6"/>
  </r>
  <r>
    <s v="ORD-2023-112666"/>
    <d v="2023-01-15T00:00:00"/>
    <d v="2023-01-13T00:00:00"/>
    <n v="2"/>
    <x v="0"/>
    <x v="1"/>
    <s v="Abuja"/>
    <s v="Education"/>
    <s v="Online"/>
    <x v="7"/>
    <s v="Printers"/>
    <x v="7"/>
    <n v="28.38"/>
    <n v="47.22"/>
    <n v="0.19400000000000001"/>
    <n v="18"/>
    <x v="7"/>
    <n v="510.84"/>
    <n v="174.22776000000005"/>
    <n v="0.25432193743871417"/>
    <x v="5"/>
  </r>
  <r>
    <s v="ORD-2024-589570"/>
    <d v="2024-05-04T00:00:00"/>
    <d v="2024-05-29T00:00:00"/>
    <n v="25"/>
    <x v="0"/>
    <x v="1"/>
    <s v="Abuja"/>
    <s v="Non-Profit"/>
    <s v="Marketplace"/>
    <x v="7"/>
    <s v="Monitors"/>
    <x v="8"/>
    <n v="1295.3399999999999"/>
    <n v="2530.81"/>
    <n v="3.1E-2"/>
    <n v="6"/>
    <x v="8"/>
    <n v="7772.0399999999991"/>
    <n v="6942.0893400000004"/>
    <n v="0.4717974933880798"/>
    <x v="7"/>
  </r>
  <r>
    <s v="ORD-2025-997421"/>
    <d v="2025-05-21T00:00:00"/>
    <d v="2025-06-09T00:00:00"/>
    <n v="19"/>
    <x v="2"/>
    <x v="5"/>
    <s v="São Paulo"/>
    <s v="Non-Profit"/>
    <s v="Online"/>
    <x v="8"/>
    <s v="Components"/>
    <x v="9"/>
    <n v="1331.38"/>
    <n v="2309.56"/>
    <n v="0.14899999999999999"/>
    <n v="31"/>
    <x v="9"/>
    <n v="41272.780000000006"/>
    <n v="19655.722359999992"/>
    <n v="0.32260307735553528"/>
    <x v="8"/>
  </r>
  <r>
    <s v="ORD-2024-210687"/>
    <d v="2024-01-28T00:00:00"/>
    <d v="2024-02-09T00:00:00"/>
    <n v="12"/>
    <x v="3"/>
    <x v="6"/>
    <s v="Berlin"/>
    <s v="Corporate"/>
    <s v="Online"/>
    <x v="3"/>
    <s v="Accessories"/>
    <x v="10"/>
    <n v="644.16999999999996"/>
    <n v="700.12"/>
    <n v="6.0000000000000001E-3"/>
    <n v="23"/>
    <x v="10"/>
    <n v="14815.91"/>
    <n v="1190.23344"/>
    <n v="7.436103796405813E-2"/>
    <x v="9"/>
  </r>
  <r>
    <s v="ORD-2025-515515"/>
    <d v="2025-01-03T00:00:00"/>
    <d v="2025-01-23T00:00:00"/>
    <n v="20"/>
    <x v="1"/>
    <x v="2"/>
    <s v="Osaka"/>
    <s v="Corporate"/>
    <s v="Distributor"/>
    <x v="9"/>
    <s v="Phones"/>
    <x v="11"/>
    <n v="908.6"/>
    <n v="691.37"/>
    <n v="0.25"/>
    <n v="20"/>
    <x v="11"/>
    <n v="18172"/>
    <n v="7801.4500000000007"/>
    <n v="0.75226964818645115"/>
    <x v="10"/>
  </r>
  <r>
    <s v="ORD-2025-487261"/>
    <d v="2025-03-06T00:00:00"/>
    <d v="2025-03-31T00:00:00"/>
    <n v="25"/>
    <x v="2"/>
    <x v="5"/>
    <s v="Brasília"/>
    <s v="Non-Profit"/>
    <s v="Online"/>
    <x v="1"/>
    <s v="Components"/>
    <x v="12"/>
    <n v="331.57"/>
    <n v="548.4"/>
    <n v="9.4E-2"/>
    <n v="10"/>
    <x v="12"/>
    <n v="3315.7"/>
    <n v="1652.8040000000001"/>
    <n v="0.33265626836568918"/>
    <x v="3"/>
  </r>
  <r>
    <s v="ORD-2024-890180"/>
    <d v="2024-01-20T00:00:00"/>
    <d v="2024-02-13T00:00:00"/>
    <n v="24"/>
    <x v="3"/>
    <x v="7"/>
    <s v="Marseille"/>
    <s v="Corporate"/>
    <s v="Retail"/>
    <x v="10"/>
    <s v="Printers"/>
    <x v="13"/>
    <n v="643.53"/>
    <n v="1439.01"/>
    <n v="0"/>
    <n v="15"/>
    <x v="13"/>
    <n v="9652.9499999999989"/>
    <n v="11932.200000000003"/>
    <n v="0.55279671440782208"/>
    <x v="9"/>
  </r>
  <r>
    <s v="ORD-2025-840976"/>
    <d v="2025-09-01T00:00:00"/>
    <d v="2025-09-30T00:00:00"/>
    <n v="29"/>
    <x v="2"/>
    <x v="5"/>
    <s v="Brasília"/>
    <s v="Education"/>
    <s v="Retail"/>
    <x v="11"/>
    <s v="Accessories"/>
    <x v="14"/>
    <n v="780.59"/>
    <n v="631.57000000000005"/>
    <n v="0"/>
    <n v="12"/>
    <x v="14"/>
    <n v="9367.08"/>
    <n v="1788.2399999999998"/>
    <n v="0.23595167598207639"/>
    <x v="11"/>
  </r>
  <r>
    <s v="ORD-2023-937291"/>
    <d v="2023-04-23T00:00:00"/>
    <d v="2023-04-22T00:00:00"/>
    <n v="1"/>
    <x v="0"/>
    <x v="0"/>
    <s v="Nairobi"/>
    <s v="Small Business"/>
    <s v="Direct"/>
    <x v="6"/>
    <s v="Laptops"/>
    <x v="15"/>
    <n v="756.51"/>
    <n v="850.8"/>
    <n v="7.3999999999999996E-2"/>
    <n v="9"/>
    <x v="15"/>
    <n v="6808.59"/>
    <n v="281.97720000000027"/>
    <n v="3.9767932810791252E-2"/>
    <x v="12"/>
  </r>
  <r>
    <s v="ORD-2024-206081"/>
    <d v="2024-12-10T00:00:00"/>
    <d v="2025-01-08T00:00:00"/>
    <n v="29"/>
    <x v="3"/>
    <x v="7"/>
    <s v="Marseille"/>
    <s v="Small Business"/>
    <s v="Retail"/>
    <x v="11"/>
    <s v="Printers"/>
    <x v="16"/>
    <n v="891.08"/>
    <n v="1040.0999999999999"/>
    <n v="0.109"/>
    <n v="28"/>
    <x v="16"/>
    <n v="24950.240000000002"/>
    <n v="998.17479999999341"/>
    <n v="3.8467660074556598E-2"/>
    <x v="6"/>
  </r>
  <r>
    <s v="ORD-2025-233883"/>
    <d v="2025-09-08T00:00:00"/>
    <d v="2025-09-16T00:00:00"/>
    <n v="8"/>
    <x v="1"/>
    <x v="2"/>
    <s v="Osaka"/>
    <s v="Corporate"/>
    <s v="Distributor"/>
    <x v="0"/>
    <s v="Phones"/>
    <x v="17"/>
    <n v="1225.57"/>
    <n v="2705.57"/>
    <n v="0.183"/>
    <n v="16"/>
    <x v="17"/>
    <n v="19609.12"/>
    <n v="15758.091040000003"/>
    <n v="0.44555650775453404"/>
    <x v="11"/>
  </r>
  <r>
    <s v="ORD-2025-843974"/>
    <d v="2025-07-20T00:00:00"/>
    <d v="2025-08-05T00:00:00"/>
    <n v="16"/>
    <x v="2"/>
    <x v="5"/>
    <s v="Brasília"/>
    <s v="Enterprise"/>
    <s v="Marketplace"/>
    <x v="3"/>
    <s v="Accessories"/>
    <x v="18"/>
    <n v="1068.17"/>
    <n v="2375.37"/>
    <n v="0.109"/>
    <n v="18"/>
    <x v="18"/>
    <n v="19227.060000000001"/>
    <n v="18869.124059999998"/>
    <n v="0.49530220744108822"/>
    <x v="13"/>
  </r>
  <r>
    <s v="ORD-2025-745263"/>
    <d v="2025-05-21T00:00:00"/>
    <d v="2025-05-19T00:00:00"/>
    <n v="2"/>
    <x v="3"/>
    <x v="8"/>
    <s v="Birmingham"/>
    <s v="Enterprise"/>
    <s v="Online"/>
    <x v="12"/>
    <s v="Laptops"/>
    <x v="19"/>
    <n v="1015.16"/>
    <n v="2148.14"/>
    <n v="3.7999999999999999E-2"/>
    <n v="19"/>
    <x v="19"/>
    <n v="19288.04"/>
    <n v="19975.662919999995"/>
    <n v="0.50875647059322227"/>
    <x v="8"/>
  </r>
  <r>
    <s v="ORD-2024-798002"/>
    <d v="2024-07-25T00:00:00"/>
    <d v="2024-07-24T00:00:00"/>
    <n v="1"/>
    <x v="0"/>
    <x v="0"/>
    <s v="Mombasa"/>
    <s v="Non-Profit"/>
    <s v="Direct"/>
    <x v="1"/>
    <s v="Laptops"/>
    <x v="20"/>
    <n v="1494.4"/>
    <n v="3661.07"/>
    <n v="7.1999999999999995E-2"/>
    <n v="7"/>
    <x v="20"/>
    <n v="10460.800000000001"/>
    <n v="13321.51072"/>
    <n v="0.56014366630897339"/>
    <x v="14"/>
  </r>
  <r>
    <s v="ORD-2023-867836"/>
    <d v="2023-05-11T00:00:00"/>
    <d v="2023-05-28T00:00:00"/>
    <n v="17"/>
    <x v="1"/>
    <x v="9"/>
    <s v="Shenzhen"/>
    <s v="Enterprise"/>
    <s v="Marketplace"/>
    <x v="6"/>
    <s v="Networking"/>
    <x v="21"/>
    <n v="1331.19"/>
    <n v="2903.09"/>
    <n v="0.14299999999999999"/>
    <n v="8"/>
    <x v="21"/>
    <n v="10649.52"/>
    <n v="9254.0650400000013"/>
    <n v="0.46494463290920784"/>
    <x v="15"/>
  </r>
  <r>
    <s v="ORD-2025-580047"/>
    <d v="2025-06-14T00:00:00"/>
    <d v="2025-06-29T00:00:00"/>
    <n v="15"/>
    <x v="0"/>
    <x v="1"/>
    <s v="Port Harcourt"/>
    <s v="Consumer"/>
    <s v="Marketplace"/>
    <x v="12"/>
    <s v="Accessories"/>
    <x v="22"/>
    <n v="730.99"/>
    <n v="1242.8399999999999"/>
    <n v="0.12"/>
    <n v="10"/>
    <x v="22"/>
    <n v="7309.9"/>
    <n v="3627.0920000000006"/>
    <n v="0.33163524303574515"/>
    <x v="16"/>
  </r>
  <r>
    <s v="ORD-2024-500109"/>
    <d v="2024-05-18T00:00:00"/>
    <d v="2024-05-23T00:00:00"/>
    <n v="5"/>
    <x v="2"/>
    <x v="10"/>
    <s v="Chicago"/>
    <s v="Enterprise"/>
    <s v="Retail"/>
    <x v="10"/>
    <s v="Laptops"/>
    <x v="23"/>
    <n v="1274.5899999999999"/>
    <n v="2553.69"/>
    <n v="0.01"/>
    <n v="8"/>
    <x v="23"/>
    <n v="10196.719999999999"/>
    <n v="10028.504800000001"/>
    <n v="0.49584145042481803"/>
    <x v="7"/>
  </r>
  <r>
    <s v="ORD-2023-271836"/>
    <d v="2023-02-07T00:00:00"/>
    <d v="2023-02-12T00:00:00"/>
    <n v="5"/>
    <x v="2"/>
    <x v="5"/>
    <s v="São Paulo"/>
    <s v="Education"/>
    <s v="Online"/>
    <x v="13"/>
    <s v="Components"/>
    <x v="24"/>
    <n v="948.55"/>
    <n v="2089.16"/>
    <n v="7.0000000000000001E-3"/>
    <n v="12"/>
    <x v="24"/>
    <n v="11382.599999999999"/>
    <n v="13511.830559999999"/>
    <n v="0.54276519912492427"/>
    <x v="2"/>
  </r>
  <r>
    <s v="ORD-2024-215294"/>
    <d v="2024-06-30T00:00:00"/>
    <d v="2024-07-14T00:00:00"/>
    <n v="14"/>
    <x v="2"/>
    <x v="5"/>
    <s v="Brasília"/>
    <s v="Education"/>
    <s v="Retail"/>
    <x v="0"/>
    <s v="Accessories"/>
    <x v="25"/>
    <n v="1491.85"/>
    <n v="2583.02"/>
    <n v="0.16800000000000001"/>
    <n v="4"/>
    <x v="25"/>
    <n v="5967.4"/>
    <n v="2628.8905599999998"/>
    <n v="0.30581685689321325"/>
    <x v="17"/>
  </r>
  <r>
    <s v="ORD-2024-788105"/>
    <d v="2024-11-30T00:00:00"/>
    <d v="2024-12-30T00:00:00"/>
    <n v="30"/>
    <x v="3"/>
    <x v="7"/>
    <s v="Marseille"/>
    <s v="Consumer"/>
    <s v="Marketplace"/>
    <x v="9"/>
    <s v="Printers"/>
    <x v="26"/>
    <n v="117.64"/>
    <n v="175.67"/>
    <n v="0"/>
    <n v="10"/>
    <x v="26"/>
    <n v="1176.4000000000001"/>
    <n v="580.29999999999973"/>
    <n v="0.33033528775545046"/>
    <x v="18"/>
  </r>
  <r>
    <s v="ORD-2024-855073"/>
    <d v="2024-07-19T00:00:00"/>
    <d v="2024-07-19T00:00:00"/>
    <n v="0"/>
    <x v="0"/>
    <x v="0"/>
    <s v="Kisumu"/>
    <s v="Small Business"/>
    <s v="Retail"/>
    <x v="8"/>
    <s v="Phones"/>
    <x v="27"/>
    <n v="857.24"/>
    <n v="758.23"/>
    <n v="0.125"/>
    <n v="6"/>
    <x v="27"/>
    <n v="5143.4400000000005"/>
    <n v="1162.7325000000005"/>
    <n v="0.29209192084572921"/>
    <x v="14"/>
  </r>
  <r>
    <s v="ORD-2023-897079"/>
    <d v="2023-04-14T00:00:00"/>
    <d v="2023-05-14T00:00:00"/>
    <n v="30"/>
    <x v="0"/>
    <x v="0"/>
    <s v="Nakuru"/>
    <s v="Consumer"/>
    <s v="Marketplace"/>
    <x v="12"/>
    <s v="Phones"/>
    <x v="28"/>
    <n v="209.25"/>
    <n v="434.8"/>
    <n v="0"/>
    <n v="9"/>
    <x v="28"/>
    <n v="1883.25"/>
    <n v="2029.9500000000003"/>
    <n v="0.51874425022999082"/>
    <x v="12"/>
  </r>
  <r>
    <s v="ORD-2025-548982"/>
    <d v="2025-04-07T00:00:00"/>
    <d v="2025-04-11T00:00:00"/>
    <n v="4"/>
    <x v="3"/>
    <x v="7"/>
    <s v="Lyon"/>
    <s v="Education"/>
    <s v="Retail"/>
    <x v="6"/>
    <s v="Networking"/>
    <x v="29"/>
    <n v="754.77"/>
    <n v="1666.18"/>
    <n v="0.13900000000000001"/>
    <n v="14"/>
    <x v="29"/>
    <n v="10566.779999999999"/>
    <n v="9517.3537200000028"/>
    <n v="0.47387424584424653"/>
    <x v="19"/>
  </r>
  <r>
    <s v="ORD-2024-170313"/>
    <d v="2024-12-27T00:00:00"/>
    <d v="2025-01-15T00:00:00"/>
    <n v="19"/>
    <x v="1"/>
    <x v="4"/>
    <s v="Delhi"/>
    <s v="Non-Profit"/>
    <s v="Distributor"/>
    <x v="3"/>
    <s v="Components"/>
    <x v="30"/>
    <n v="495.59"/>
    <n v="631.78"/>
    <n v="8.6999999999999994E-2"/>
    <n v="17"/>
    <x v="30"/>
    <n v="8425.0299999999988"/>
    <n v="1380.8273800000024"/>
    <n v="0.14081658813601899"/>
    <x v="6"/>
  </r>
  <r>
    <s v="ORD-2023-562894"/>
    <d v="2023-02-23T00:00:00"/>
    <d v="2023-03-25T00:00:00"/>
    <n v="30"/>
    <x v="2"/>
    <x v="3"/>
    <s v="Montreal"/>
    <s v="Enterprise"/>
    <s v="Online"/>
    <x v="14"/>
    <s v="Phones"/>
    <x v="31"/>
    <n v="1242.6600000000001"/>
    <n v="1794.07"/>
    <n v="8.8999999999999996E-2"/>
    <n v="16"/>
    <x v="31"/>
    <n v="19882.560000000001"/>
    <n v="6267.8043199999993"/>
    <n v="0.23968325042440553"/>
    <x v="2"/>
  </r>
  <r>
    <s v="ORD-2025-474710"/>
    <d v="2025-07-24T00:00:00"/>
    <d v="2025-08-06T00:00:00"/>
    <n v="13"/>
    <x v="0"/>
    <x v="11"/>
    <s v="Johannesburg"/>
    <s v="Education"/>
    <s v="Marketplace"/>
    <x v="14"/>
    <s v="Networking"/>
    <x v="32"/>
    <n v="1463.9"/>
    <n v="2633.02"/>
    <n v="8.4000000000000005E-2"/>
    <n v="4"/>
    <x v="32"/>
    <n v="5855.6"/>
    <n v="3791.7852800000001"/>
    <n v="0.39303761277791527"/>
    <x v="13"/>
  </r>
  <r>
    <s v="ORD-2024-629525"/>
    <d v="2024-04-18T00:00:00"/>
    <d v="2024-05-08T00:00:00"/>
    <n v="20"/>
    <x v="3"/>
    <x v="8"/>
    <s v="London"/>
    <s v="Non-Profit"/>
    <s v="Unknown"/>
    <x v="14"/>
    <s v="Laptops"/>
    <x v="33"/>
    <n v="645.33000000000004"/>
    <n v="1321.85"/>
    <n v="0"/>
    <n v="10"/>
    <x v="33"/>
    <n v="6453.3"/>
    <n v="6765.2"/>
    <n v="0.51179785906116426"/>
    <x v="20"/>
  </r>
  <r>
    <s v="ORD-2024-167215"/>
    <d v="2024-08-23T00:00:00"/>
    <d v="2024-08-21T00:00:00"/>
    <n v="2"/>
    <x v="0"/>
    <x v="11"/>
    <s v="Johannesburg"/>
    <s v="Education"/>
    <s v="Retail"/>
    <x v="6"/>
    <s v="Components"/>
    <x v="34"/>
    <n v="1432.52"/>
    <n v="3036.87"/>
    <n v="0"/>
    <n v="9"/>
    <x v="34"/>
    <n v="12892.68"/>
    <n v="14439.149999999998"/>
    <n v="0.52829064135112791"/>
    <x v="21"/>
  </r>
  <r>
    <s v="ORD-2023-864121"/>
    <d v="2023-03-27T00:00:00"/>
    <d v="2023-04-22T00:00:00"/>
    <n v="26"/>
    <x v="1"/>
    <x v="4"/>
    <s v="Delhi"/>
    <s v="Non-Profit"/>
    <s v="Marketplace"/>
    <x v="1"/>
    <s v="Printers"/>
    <x v="35"/>
    <n v="178.53"/>
    <n v="199.37"/>
    <n v="0.10100000000000001"/>
    <n v="37"/>
    <x v="35"/>
    <n v="6605.61"/>
    <n v="26.034310000000914"/>
    <n v="3.9257699573457538E-3"/>
    <x v="22"/>
  </r>
  <r>
    <s v="ORD-2024-692673"/>
    <d v="2024-03-07T00:00:00"/>
    <d v="2024-03-25T00:00:00"/>
    <n v="18"/>
    <x v="3"/>
    <x v="6"/>
    <s v="Munich"/>
    <s v="Corporate"/>
    <s v="Online"/>
    <x v="5"/>
    <s v="Components"/>
    <x v="36"/>
    <n v="712.84"/>
    <n v="927.51"/>
    <n v="0.24299999999999999"/>
    <n v="27"/>
    <x v="36"/>
    <n v="19246.68"/>
    <n v="289.30311000000074"/>
    <n v="1.5260714163076427E-2"/>
    <x v="0"/>
  </r>
  <r>
    <s v="ORD-2025-718992"/>
    <d v="2025-06-24T00:00:00"/>
    <d v="2025-07-10T00:00:00"/>
    <n v="16"/>
    <x v="1"/>
    <x v="9"/>
    <s v="Shanghai"/>
    <s v="Enterprise"/>
    <s v="Direct"/>
    <x v="13"/>
    <s v="Components"/>
    <x v="37"/>
    <n v="757.19"/>
    <n v="1735.41"/>
    <n v="0.13600000000000001"/>
    <n v="8"/>
    <x v="37"/>
    <n v="6057.52"/>
    <n v="5937.6339200000002"/>
    <n v="0.4950027285685718"/>
    <x v="16"/>
  </r>
  <r>
    <s v="ORD-2024-599522"/>
    <d v="2024-04-19T00:00:00"/>
    <d v="2024-05-06T00:00:00"/>
    <n v="17"/>
    <x v="0"/>
    <x v="1"/>
    <s v="Port Harcourt"/>
    <s v="Non-Profit"/>
    <s v="Online"/>
    <x v="8"/>
    <s v="Printers"/>
    <x v="38"/>
    <n v="865.33"/>
    <n v="1395.64"/>
    <n v="0.17499999999999999"/>
    <n v="13"/>
    <x v="38"/>
    <n v="11249.29"/>
    <n v="3718.9489999999987"/>
    <n v="0.24845601409758347"/>
    <x v="20"/>
  </r>
  <r>
    <s v="ORD-2023-651638"/>
    <d v="2023-06-17T00:00:00"/>
    <d v="2023-06-24T00:00:00"/>
    <n v="7"/>
    <x v="2"/>
    <x v="10"/>
    <s v="San Francisco"/>
    <s v="Corporate"/>
    <s v="Retail"/>
    <x v="2"/>
    <s v="Printers"/>
    <x v="39"/>
    <n v="313.99"/>
    <n v="454.42"/>
    <n v="0.129"/>
    <n v="9"/>
    <x v="39"/>
    <n v="2825.91"/>
    <n v="736.28838000000042"/>
    <n v="0.20669493988147858"/>
    <x v="23"/>
  </r>
  <r>
    <s v="ORD-2024-635626"/>
    <d v="2024-08-27T00:00:00"/>
    <d v="2024-09-19T00:00:00"/>
    <n v="23"/>
    <x v="3"/>
    <x v="6"/>
    <s v="Berlin"/>
    <s v="Small Business"/>
    <s v="Direct"/>
    <x v="14"/>
    <s v="Monitors"/>
    <x v="40"/>
    <n v="1024.01"/>
    <n v="1580.97"/>
    <n v="3.6999999999999998E-2"/>
    <n v="27"/>
    <x v="40"/>
    <n v="27648.27"/>
    <n v="13458.530970000003"/>
    <n v="0.3274039976942531"/>
    <x v="21"/>
  </r>
  <r>
    <s v="ORD-2024-296582"/>
    <d v="2024-01-11T00:00:00"/>
    <d v="2024-02-02T00:00:00"/>
    <n v="22"/>
    <x v="0"/>
    <x v="11"/>
    <s v="Durban"/>
    <s v="Consumer"/>
    <s v="Online"/>
    <x v="11"/>
    <s v="Networking"/>
    <x v="41"/>
    <n v="1206.2"/>
    <n v="1759.79"/>
    <n v="0"/>
    <n v="6"/>
    <x v="41"/>
    <n v="7237.2000000000007"/>
    <n v="3321.5399999999991"/>
    <n v="0.31457730751964713"/>
    <x v="9"/>
  </r>
  <r>
    <s v="ORD-2024-998320"/>
    <d v="2024-10-25T00:00:00"/>
    <d v="2024-11-14T00:00:00"/>
    <n v="20"/>
    <x v="0"/>
    <x v="0"/>
    <s v="Mombasa"/>
    <s v="Corporate"/>
    <s v="Direct"/>
    <x v="10"/>
    <s v="Printers"/>
    <x v="42"/>
    <n v="1396.48"/>
    <n v="3204.5"/>
    <n v="0.318"/>
    <n v="14"/>
    <x v="42"/>
    <n v="19550.72"/>
    <n v="11045.845999999998"/>
    <n v="0.36101587348070363"/>
    <x v="1"/>
  </r>
  <r>
    <s v="ORD-2025-820255"/>
    <d v="2025-05-29T00:00:00"/>
    <d v="2025-06-20T00:00:00"/>
    <n v="22"/>
    <x v="3"/>
    <x v="6"/>
    <s v="Berlin"/>
    <s v="Corporate"/>
    <s v="Direct"/>
    <x v="8"/>
    <s v="Printers"/>
    <x v="43"/>
    <n v="483.47"/>
    <n v="1135.43"/>
    <n v="0.14599999999999999"/>
    <n v="11"/>
    <x v="43"/>
    <n v="5318.17"/>
    <n v="5348.0594200000014"/>
    <n v="0.50140112399719983"/>
    <x v="8"/>
  </r>
  <r>
    <s v="ORD-2024-389336"/>
    <d v="2024-05-20T00:00:00"/>
    <d v="2024-06-02T00:00:00"/>
    <n v="13"/>
    <x v="2"/>
    <x v="3"/>
    <s v="Vancouver"/>
    <s v="Enterprise"/>
    <s v="Marketplace"/>
    <x v="11"/>
    <s v="Components"/>
    <x v="44"/>
    <n v="675.43"/>
    <n v="996.36"/>
    <n v="0.182"/>
    <n v="22"/>
    <x v="44"/>
    <n v="14859.46"/>
    <n v="3071.0345600000037"/>
    <n v="0.17127439233332575"/>
    <x v="7"/>
  </r>
  <r>
    <s v="ORD-2023-308124"/>
    <d v="2023-04-19T00:00:00"/>
    <d v="2023-04-30T00:00:00"/>
    <n v="11"/>
    <x v="1"/>
    <x v="4"/>
    <s v="Delhi"/>
    <s v="Small Business"/>
    <s v="Retail"/>
    <x v="8"/>
    <s v="Networking"/>
    <x v="45"/>
    <n v="826.55"/>
    <n v="1397.05"/>
    <n v="0.16900000000000001"/>
    <n v="28"/>
    <x v="45"/>
    <n v="23143.399999999998"/>
    <n v="9363.1594000000005"/>
    <n v="0.28803907804527601"/>
    <x v="12"/>
  </r>
  <r>
    <s v="ORD-2023-128295"/>
    <d v="2023-06-23T00:00:00"/>
    <d v="2023-07-03T00:00:00"/>
    <n v="10"/>
    <x v="0"/>
    <x v="1"/>
    <s v="Abuja"/>
    <s v="Consumer"/>
    <s v="Online"/>
    <x v="1"/>
    <s v="Printers"/>
    <x v="46"/>
    <n v="337.75"/>
    <n v="548.89"/>
    <n v="0"/>
    <n v="13"/>
    <x v="46"/>
    <n v="4390.75"/>
    <n v="2744.8199999999997"/>
    <n v="0.38466723751571352"/>
    <x v="23"/>
  </r>
  <r>
    <s v="ORD-2024-548345"/>
    <d v="2024-05-14T00:00:00"/>
    <d v="2024-05-28T00:00:00"/>
    <n v="14"/>
    <x v="3"/>
    <x v="8"/>
    <s v="Birmingham"/>
    <s v="Consumer"/>
    <s v="Retail"/>
    <x v="5"/>
    <s v="Networking"/>
    <x v="47"/>
    <n v="1421.14"/>
    <n v="3524"/>
    <n v="0"/>
    <n v="31"/>
    <x v="47"/>
    <n v="44055.340000000004"/>
    <n v="65188.659999999996"/>
    <n v="0.59672531214528945"/>
    <x v="7"/>
  </r>
  <r>
    <s v="ORD-2024-966651"/>
    <d v="2024-10-14T00:00:00"/>
    <d v="2024-11-08T00:00:00"/>
    <n v="25"/>
    <x v="0"/>
    <x v="1"/>
    <s v="Lagos"/>
    <s v="Enterprise"/>
    <s v="Online"/>
    <x v="7"/>
    <s v="Networking"/>
    <x v="48"/>
    <n v="859.35"/>
    <n v="1825.61"/>
    <n v="0.187"/>
    <n v="24"/>
    <x v="48"/>
    <n v="20624.400000000001"/>
    <n v="14996.902319999994"/>
    <n v="0.42100937762681989"/>
    <x v="1"/>
  </r>
  <r>
    <s v="ORD-2023-292714"/>
    <d v="2023-07-10T00:00:00"/>
    <d v="2023-08-01T00:00:00"/>
    <n v="22"/>
    <x v="3"/>
    <x v="7"/>
    <s v="Marseille"/>
    <s v="Consumer"/>
    <s v="Marketplace"/>
    <x v="5"/>
    <s v="Printers"/>
    <x v="49"/>
    <n v="1303.56"/>
    <n v="1791.37"/>
    <n v="0.126"/>
    <n v="22"/>
    <x v="49"/>
    <n v="28678.32"/>
    <n v="5766.142359999998"/>
    <n v="0.16740404596055358"/>
    <x v="24"/>
  </r>
  <r>
    <s v="ORD-2024-468501"/>
    <d v="2024-11-06T00:00:00"/>
    <d v="2024-11-22T00:00:00"/>
    <n v="16"/>
    <x v="2"/>
    <x v="3"/>
    <s v="Toronto"/>
    <s v="Non-Profit"/>
    <s v="Distributor"/>
    <x v="14"/>
    <s v="Accessories"/>
    <x v="50"/>
    <n v="1454.11"/>
    <n v="2629.75"/>
    <n v="0.29199999999999998"/>
    <n v="8"/>
    <x v="50"/>
    <n v="11632.88"/>
    <n v="3262.0239999999994"/>
    <n v="0.21900268709351867"/>
    <x v="18"/>
  </r>
  <r>
    <s v="ORD-2024-260775"/>
    <d v="2024-10-17T00:00:00"/>
    <d v="2024-11-06T00:00:00"/>
    <n v="20"/>
    <x v="1"/>
    <x v="4"/>
    <s v="Bengaluru"/>
    <s v="Enterprise"/>
    <s v="Distributor"/>
    <x v="7"/>
    <s v="Monitors"/>
    <x v="51"/>
    <n v="72.94"/>
    <n v="106.3"/>
    <n v="0.29499999999999998"/>
    <n v="8"/>
    <x v="51"/>
    <n v="583.52"/>
    <n v="16.012000000000057"/>
    <n v="2.6707498515508857E-2"/>
    <x v="1"/>
  </r>
  <r>
    <s v="ORD-2023-419187"/>
    <d v="2023-03-31T00:00:00"/>
    <d v="2023-04-05T00:00:00"/>
    <n v="5"/>
    <x v="0"/>
    <x v="0"/>
    <s v="Nakuru"/>
    <s v="Education"/>
    <s v="Marketplace"/>
    <x v="5"/>
    <s v="Laptops"/>
    <x v="52"/>
    <n v="533.26"/>
    <n v="385.72"/>
    <n v="0"/>
    <n v="15"/>
    <x v="52"/>
    <n v="7998.9"/>
    <n v="2213.0999999999995"/>
    <n v="0.38250544436378708"/>
    <x v="22"/>
  </r>
  <r>
    <s v="ORD-2025-578007"/>
    <d v="2025-01-21T00:00:00"/>
    <d v="2025-02-16T00:00:00"/>
    <n v="26"/>
    <x v="3"/>
    <x v="7"/>
    <s v="Lyon"/>
    <s v="Corporate"/>
    <s v="Distributor"/>
    <x v="7"/>
    <s v="Laptops"/>
    <x v="53"/>
    <n v="204.11"/>
    <n v="236.87"/>
    <n v="0.182"/>
    <n v="13"/>
    <x v="53"/>
    <n v="2653.4300000000003"/>
    <n v="134.55441999999994"/>
    <n v="5.3418446337075494E-2"/>
    <x v="10"/>
  </r>
  <r>
    <s v="ORD-2023-235230"/>
    <d v="2023-08-30T00:00:00"/>
    <d v="2023-09-01T00:00:00"/>
    <n v="2"/>
    <x v="3"/>
    <x v="6"/>
    <s v="Munich"/>
    <s v="Corporate"/>
    <s v="Direct"/>
    <x v="13"/>
    <s v="Networking"/>
    <x v="54"/>
    <n v="44.42"/>
    <n v="41.9"/>
    <n v="0.14399999999999999"/>
    <n v="6"/>
    <x v="54"/>
    <n v="266.52"/>
    <n v="51.321600000000018"/>
    <n v="0.23848504449847224"/>
    <x v="25"/>
  </r>
  <r>
    <s v="ORD-2025-765220"/>
    <d v="2025-04-06T00:00:00"/>
    <d v="2025-04-30T00:00:00"/>
    <n v="24"/>
    <x v="2"/>
    <x v="5"/>
    <s v="Brasília"/>
    <s v="Education"/>
    <s v="Online"/>
    <x v="11"/>
    <s v="Monitors"/>
    <x v="55"/>
    <n v="855.78"/>
    <n v="977.38"/>
    <n v="0.14699999999999999"/>
    <n v="38"/>
    <x v="55"/>
    <n v="32519.64"/>
    <n v="838.84467999999833"/>
    <n v="2.6478018355506307E-2"/>
    <x v="19"/>
  </r>
  <r>
    <s v="ORD-2025-931538"/>
    <d v="2025-02-09T00:00:00"/>
    <d v="2025-03-01T00:00:00"/>
    <n v="20"/>
    <x v="2"/>
    <x v="5"/>
    <s v="São Paulo"/>
    <s v="Corporate"/>
    <s v="Distributor"/>
    <x v="5"/>
    <s v="Laptops"/>
    <x v="56"/>
    <n v="1154.6400000000001"/>
    <n v="2794.13"/>
    <n v="3.5000000000000003E-2"/>
    <n v="11"/>
    <x v="56"/>
    <n v="12701.04"/>
    <n v="16958.649949999999"/>
    <n v="0.57177435025749479"/>
    <x v="26"/>
  </r>
  <r>
    <s v="ORD-2024-289089"/>
    <d v="2024-12-17T00:00:00"/>
    <d v="2024-12-18T00:00:00"/>
    <n v="1"/>
    <x v="3"/>
    <x v="6"/>
    <s v="Munich"/>
    <s v="Education"/>
    <s v="Retail"/>
    <x v="4"/>
    <s v="Accessories"/>
    <x v="57"/>
    <n v="346.82"/>
    <n v="701.95"/>
    <n v="0.14699999999999999"/>
    <n v="8"/>
    <x v="57"/>
    <n v="2774.56"/>
    <n v="2015.5468000000005"/>
    <n v="0.42077283120284509"/>
    <x v="6"/>
  </r>
  <r>
    <s v="ORD-2025-639542"/>
    <d v="2025-06-09T00:00:00"/>
    <d v="2025-06-18T00:00:00"/>
    <n v="9"/>
    <x v="3"/>
    <x v="7"/>
    <s v="Marseille"/>
    <s v="Small Business"/>
    <s v="Marketplace"/>
    <x v="10"/>
    <s v="Accessories"/>
    <x v="58"/>
    <n v="1225.5"/>
    <n v="5.27"/>
    <n v="7.4999999999999997E-2"/>
    <n v="56"/>
    <x v="58"/>
    <n v="68628"/>
    <n v="68355.013999999996"/>
    <n v="250.39750756449047"/>
    <x v="16"/>
  </r>
  <r>
    <s v="ORD-2025-762301"/>
    <d v="2025-05-02T00:00:00"/>
    <d v="2025-05-13T00:00:00"/>
    <n v="11"/>
    <x v="0"/>
    <x v="0"/>
    <s v="Nakuru"/>
    <s v="Small Business"/>
    <s v="Online"/>
    <x v="8"/>
    <s v="Accessories"/>
    <x v="59"/>
    <n v="1057.5999999999999"/>
    <n v="1437.06"/>
    <n v="0.20499999999999999"/>
    <n v="4"/>
    <x v="59"/>
    <n v="4230.3999999999996"/>
    <n v="339.45080000000053"/>
    <n v="7.4280499485891424E-2"/>
    <x v="8"/>
  </r>
  <r>
    <s v="ORD-2024-906395"/>
    <d v="2024-03-10T00:00:00"/>
    <d v="2024-04-09T00:00:00"/>
    <n v="30"/>
    <x v="3"/>
    <x v="7"/>
    <s v="Lyon"/>
    <s v="Corporate"/>
    <s v="Direct"/>
    <x v="2"/>
    <s v="Components"/>
    <x v="60"/>
    <n v="1176.56"/>
    <n v="1911.89"/>
    <n v="0.11899999999999999"/>
    <n v="20"/>
    <x v="60"/>
    <n v="23531.199999999997"/>
    <n v="10156.301800000008"/>
    <n v="0.30148575160892477"/>
    <x v="0"/>
  </r>
  <r>
    <s v="ORD-2025-779574"/>
    <d v="2025-09-10T00:00:00"/>
    <d v="2025-09-12T00:00:00"/>
    <n v="2"/>
    <x v="1"/>
    <x v="2"/>
    <s v="Tokyo"/>
    <s v="Consumer"/>
    <s v="Online"/>
    <x v="7"/>
    <s v="Components"/>
    <x v="61"/>
    <n v="1470.15"/>
    <n v="2593.7800000000002"/>
    <n v="0.11"/>
    <n v="12"/>
    <x v="61"/>
    <n v="17641.800000000003"/>
    <n v="10059.770399999998"/>
    <n v="0.36314801849645306"/>
    <x v="11"/>
  </r>
  <r>
    <s v="ORD-2025-526650"/>
    <d v="2025-04-27T00:00:00"/>
    <d v="2025-05-25T00:00:00"/>
    <n v="28"/>
    <x v="3"/>
    <x v="7"/>
    <s v="Paris"/>
    <s v="Small Business"/>
    <s v="Marketplace"/>
    <x v="2"/>
    <s v="Phones"/>
    <x v="62"/>
    <n v="603.45000000000005"/>
    <n v="1244.08"/>
    <n v="0.2"/>
    <n v="11"/>
    <x v="62"/>
    <n v="6637.9500000000007"/>
    <n v="4309.9539999999997"/>
    <n v="0.39367846119220623"/>
    <x v="19"/>
  </r>
  <r>
    <s v="ORD-2024-247979"/>
    <d v="2024-11-02T00:00:00"/>
    <d v="2024-11-18T00:00:00"/>
    <n v="16"/>
    <x v="1"/>
    <x v="4"/>
    <s v="Mumbai"/>
    <s v="Small Business"/>
    <s v="Distributor"/>
    <x v="7"/>
    <s v="Monitors"/>
    <x v="63"/>
    <n v="1233.58"/>
    <n v="1912.51"/>
    <n v="0.255"/>
    <n v="51"/>
    <x v="63"/>
    <n v="62912.579999999994"/>
    <n v="9753.2374500000078"/>
    <n v="0.134220432553601"/>
    <x v="18"/>
  </r>
  <r>
    <s v="ORD-2023-480975"/>
    <d v="2023-02-15T00:00:00"/>
    <d v="2023-02-26T00:00:00"/>
    <n v="11"/>
    <x v="0"/>
    <x v="11"/>
    <s v="Johannesburg"/>
    <s v="Non-Profit"/>
    <s v="Retail"/>
    <x v="11"/>
    <s v="Laptops"/>
    <x v="64"/>
    <n v="498.5"/>
    <n v="755.87"/>
    <n v="0.13"/>
    <n v="40"/>
    <x v="64"/>
    <n v="19940"/>
    <n v="6364.275999999998"/>
    <n v="0.24194834330357537"/>
    <x v="2"/>
  </r>
  <r>
    <s v="ORD-2023-239789"/>
    <d v="2023-12-03T00:00:00"/>
    <d v="2023-12-26T00:00:00"/>
    <n v="23"/>
    <x v="2"/>
    <x v="5"/>
    <s v="Rio de Janeiro"/>
    <s v="Education"/>
    <s v="Retail"/>
    <x v="7"/>
    <s v="Phones"/>
    <x v="65"/>
    <n v="1303.1099999999999"/>
    <n v="1145.67"/>
    <n v="0.184"/>
    <n v="13"/>
    <x v="65"/>
    <n v="16940.43"/>
    <n v="4787.1626399999986"/>
    <n v="0.39389922875851208"/>
    <x v="4"/>
  </r>
  <r>
    <s v="ORD-2023-548874"/>
    <d v="2023-03-19T00:00:00"/>
    <d v="2023-04-09T00:00:00"/>
    <n v="21"/>
    <x v="3"/>
    <x v="8"/>
    <s v="Manchester"/>
    <s v="Consumer"/>
    <s v="Retail"/>
    <x v="4"/>
    <s v="Accessories"/>
    <x v="66"/>
    <n v="1082.17"/>
    <n v="1234.0999999999999"/>
    <n v="0.189"/>
    <n v="16"/>
    <x v="66"/>
    <n v="17314.72"/>
    <n v="1301.0384000000031"/>
    <n v="8.124542703534228E-2"/>
    <x v="22"/>
  </r>
  <r>
    <s v="ORD-2024-347736"/>
    <d v="2024-05-22T00:00:00"/>
    <d v="2024-06-06T00:00:00"/>
    <n v="15"/>
    <x v="1"/>
    <x v="2"/>
    <s v="Nagoya"/>
    <s v="Corporate"/>
    <s v="Distributor"/>
    <x v="0"/>
    <s v="Monitors"/>
    <x v="67"/>
    <n v="673.88"/>
    <n v="1228.01"/>
    <n v="0.105"/>
    <n v="13"/>
    <x v="67"/>
    <n v="8760.44"/>
    <n v="5527.4563499999986"/>
    <n v="0.38686285332689996"/>
    <x v="7"/>
  </r>
  <r>
    <s v="ORD-2023-749324"/>
    <d v="2023-08-19T00:00:00"/>
    <d v="2023-09-07T00:00:00"/>
    <n v="19"/>
    <x v="0"/>
    <x v="11"/>
    <s v="Johannesburg"/>
    <s v="Enterprise"/>
    <s v="Retail"/>
    <x v="14"/>
    <s v="Monitors"/>
    <x v="68"/>
    <n v="494.61"/>
    <n v="605.23"/>
    <n v="0.20399999999999999"/>
    <n v="18"/>
    <x v="68"/>
    <n v="8902.98"/>
    <n v="231.24455999999918"/>
    <n v="2.6666468505639647E-2"/>
    <x v="25"/>
  </r>
  <r>
    <s v="ORD-2023-809913"/>
    <d v="2023-04-21T00:00:00"/>
    <d v="2023-05-10T00:00:00"/>
    <n v="19"/>
    <x v="1"/>
    <x v="9"/>
    <s v="Shanghai"/>
    <s v="Corporate"/>
    <s v="Retail"/>
    <x v="8"/>
    <s v="Components"/>
    <x v="69"/>
    <n v="882.33"/>
    <n v="1880.15"/>
    <n v="0.05"/>
    <n v="5"/>
    <x v="69"/>
    <n v="4411.6500000000005"/>
    <n v="4519.0624999999991"/>
    <n v="0.50601365792482955"/>
    <x v="12"/>
  </r>
  <r>
    <s v="ORD-2024-287210"/>
    <d v="2024-03-18T00:00:00"/>
    <d v="2024-03-21T00:00:00"/>
    <n v="3"/>
    <x v="3"/>
    <x v="6"/>
    <s v="Munich"/>
    <s v="Small Business"/>
    <s v="Online"/>
    <x v="12"/>
    <s v="Accessories"/>
    <x v="70"/>
    <n v="910.63"/>
    <n v="1269.4000000000001"/>
    <n v="6.8000000000000005E-2"/>
    <n v="9"/>
    <x v="70"/>
    <n v="8195.67"/>
    <n v="2452.0571999999993"/>
    <n v="0.23028925834989455"/>
    <x v="0"/>
  </r>
  <r>
    <s v="ORD-2025-640677"/>
    <d v="2025-04-09T00:00:00"/>
    <d v="2025-05-06T00:00:00"/>
    <n v="27"/>
    <x v="2"/>
    <x v="5"/>
    <s v="Brasília"/>
    <s v="Enterprise"/>
    <s v="Marketplace"/>
    <x v="9"/>
    <s v="Laptops"/>
    <x v="71"/>
    <n v="264.19"/>
    <n v="620.92999999999995"/>
    <n v="0.14199999999999999"/>
    <n v="12"/>
    <x v="71"/>
    <n v="3170.2799999999997"/>
    <n v="3222.8152799999998"/>
    <n v="0.50410875152794532"/>
    <x v="19"/>
  </r>
  <r>
    <s v="ORD-2024-939873"/>
    <d v="2024-04-12T00:00:00"/>
    <d v="2024-05-07T00:00:00"/>
    <n v="25"/>
    <x v="0"/>
    <x v="11"/>
    <s v="Johannesburg"/>
    <s v="Education"/>
    <s v="Distributor"/>
    <x v="8"/>
    <s v="Laptops"/>
    <x v="72"/>
    <n v="1376.51"/>
    <n v="1455.91"/>
    <n v="0.185"/>
    <n v="17"/>
    <x v="72"/>
    <n v="23400.67"/>
    <n v="3229.0369499999979"/>
    <n v="0.1600781127634085"/>
    <x v="20"/>
  </r>
  <r>
    <s v="ORD-2024-800947"/>
    <d v="2024-12-15T00:00:00"/>
    <d v="2024-12-20T00:00:00"/>
    <n v="5"/>
    <x v="1"/>
    <x v="9"/>
    <s v="Shenzhen"/>
    <s v="Small Business"/>
    <s v="Direct"/>
    <x v="1"/>
    <s v="Networking"/>
    <x v="73"/>
    <n v="717.55"/>
    <n v="546.42999999999995"/>
    <n v="4.7E-2"/>
    <n v="18"/>
    <x v="73"/>
    <n v="12915.9"/>
    <n v="3542.4397800000006"/>
    <n v="0.37792231437026369"/>
    <x v="6"/>
  </r>
  <r>
    <s v="ORD-2023-382272"/>
    <d v="2023-05-20T00:00:00"/>
    <d v="2023-05-18T00:00:00"/>
    <n v="2"/>
    <x v="0"/>
    <x v="11"/>
    <s v="Durban"/>
    <s v="Corporate"/>
    <s v="Distributor"/>
    <x v="8"/>
    <s v="Components"/>
    <x v="74"/>
    <n v="917.88"/>
    <n v="1347.92"/>
    <n v="0.34300000000000003"/>
    <n v="5"/>
    <x v="74"/>
    <n v="4589.3999999999996"/>
    <n v="161.48279999999886"/>
    <n v="3.6469245630880096E-2"/>
    <x v="15"/>
  </r>
  <r>
    <s v="ORD-2023-722117"/>
    <d v="2023-09-18T00:00:00"/>
    <d v="2023-10-08T00:00:00"/>
    <n v="20"/>
    <x v="1"/>
    <x v="4"/>
    <s v="Delhi"/>
    <s v="Small Business"/>
    <s v="Direct"/>
    <x v="5"/>
    <s v="Components"/>
    <x v="75"/>
    <n v="825.64"/>
    <n v="1108.43"/>
    <n v="0.114"/>
    <n v="7"/>
    <x v="75"/>
    <n v="5779.48"/>
    <n v="1095.0028600000005"/>
    <n v="0.15928512475773349"/>
    <x v="27"/>
  </r>
  <r>
    <s v="ORD-2024-446699"/>
    <d v="2024-08-28T00:00:00"/>
    <d v="2024-09-25T00:00:00"/>
    <n v="28"/>
    <x v="2"/>
    <x v="5"/>
    <s v="Rio de Janeiro"/>
    <s v="Non-Profit"/>
    <s v="Online"/>
    <x v="15"/>
    <s v="Accessories"/>
    <x v="76"/>
    <n v="1394.65"/>
    <n v="3144.1"/>
    <n v="0.13400000000000001"/>
    <n v="13"/>
    <x v="76"/>
    <n v="18130.45"/>
    <n v="17265.827799999995"/>
    <n v="0.4877865378263021"/>
    <x v="21"/>
  </r>
  <r>
    <s v="ORD-2024-451005"/>
    <d v="2024-06-30T00:00:00"/>
    <d v="2024-06-28T00:00:00"/>
    <n v="2"/>
    <x v="2"/>
    <x v="5"/>
    <s v="Rio de Janeiro"/>
    <s v="Small Business"/>
    <s v="Direct"/>
    <x v="4"/>
    <s v="Accessories"/>
    <x v="77"/>
    <n v="1112.98"/>
    <n v="2095.73"/>
    <n v="7.1999999999999995E-2"/>
    <n v="17"/>
    <x v="77"/>
    <n v="18920.66"/>
    <n v="14141.576480000007"/>
    <n v="0.42772594916724777"/>
    <x v="17"/>
  </r>
  <r>
    <s v="ORD-2023-290279"/>
    <d v="2023-06-14T00:00:00"/>
    <d v="2023-06-16T00:00:00"/>
    <n v="2"/>
    <x v="3"/>
    <x v="8"/>
    <s v="Manchester"/>
    <s v="Non-Profit"/>
    <s v="Direct"/>
    <x v="11"/>
    <s v="Components"/>
    <x v="78"/>
    <n v="357.36"/>
    <n v="703.62"/>
    <n v="0.25700000000000001"/>
    <n v="20"/>
    <x v="78"/>
    <n v="7147.2000000000007"/>
    <n v="3308.5931999999993"/>
    <n v="0.31643636563125593"/>
    <x v="23"/>
  </r>
  <r>
    <s v="ORD-2024-192263"/>
    <d v="2024-11-21T00:00:00"/>
    <d v="2024-12-21T00:00:00"/>
    <n v="30"/>
    <x v="3"/>
    <x v="7"/>
    <s v="Marseille"/>
    <s v="Small Business"/>
    <s v="Direct"/>
    <x v="2"/>
    <s v="Monitors"/>
    <x v="79"/>
    <n v="1122.68"/>
    <n v="1997.19"/>
    <n v="0.186"/>
    <n v="3"/>
    <x v="79"/>
    <n v="3368.04"/>
    <n v="1509.0979800000005"/>
    <n v="0.30942285951073306"/>
    <x v="18"/>
  </r>
  <r>
    <s v="ORD-2023-159379"/>
    <d v="2023-02-08T00:00:00"/>
    <d v="2023-02-11T00:00:00"/>
    <n v="3"/>
    <x v="0"/>
    <x v="11"/>
    <s v="Cape Town"/>
    <s v="Corporate"/>
    <s v="Direct"/>
    <x v="12"/>
    <s v="Networking"/>
    <x v="80"/>
    <n v="1410.05"/>
    <n v="2763.95"/>
    <n v="0.161"/>
    <n v="26"/>
    <x v="80"/>
    <n v="36661.299999999996"/>
    <n v="23631.505299999997"/>
    <n v="0.39194569206750779"/>
    <x v="2"/>
  </r>
  <r>
    <s v="ORD-2023-343322"/>
    <d v="2023-08-19T00:00:00"/>
    <d v="2023-09-12T00:00:00"/>
    <n v="24"/>
    <x v="2"/>
    <x v="3"/>
    <s v="Vancouver"/>
    <s v="Enterprise"/>
    <s v="Retail"/>
    <x v="2"/>
    <s v="Printers"/>
    <x v="81"/>
    <n v="1183.95"/>
    <n v="1503.53"/>
    <n v="0.24099999999999999"/>
    <n v="16"/>
    <x v="81"/>
    <n v="18943.2"/>
    <n v="684.33167999999932"/>
    <n v="3.7479413729623705E-2"/>
    <x v="25"/>
  </r>
  <r>
    <s v="ORD-2025-114382"/>
    <d v="2025-05-14T00:00:00"/>
    <d v="2025-05-24T00:00:00"/>
    <n v="10"/>
    <x v="3"/>
    <x v="7"/>
    <s v="Paris"/>
    <s v="Small Business"/>
    <s v="Marketplace"/>
    <x v="11"/>
    <s v="Components"/>
    <x v="82"/>
    <n v="170.39"/>
    <n v="388.04"/>
    <n v="8.4000000000000005E-2"/>
    <n v="15"/>
    <x v="82"/>
    <n v="2555.85"/>
    <n v="2775.8196000000003"/>
    <n v="0.52062858508711796"/>
    <x v="8"/>
  </r>
  <r>
    <s v="ORD-2025-488349"/>
    <d v="2025-04-23T00:00:00"/>
    <d v="2025-04-22T00:00:00"/>
    <n v="1"/>
    <x v="2"/>
    <x v="10"/>
    <s v="San Francisco"/>
    <s v="Non-Profit"/>
    <s v="Distributor"/>
    <x v="14"/>
    <s v="Monitors"/>
    <x v="83"/>
    <n v="23.24"/>
    <n v="44.57"/>
    <n v="0.215"/>
    <n v="15"/>
    <x v="83"/>
    <n v="348.59999999999997"/>
    <n v="176.21174999999999"/>
    <n v="0.33576182316802167"/>
    <x v="19"/>
  </r>
  <r>
    <s v="ORD-2025-330203"/>
    <d v="2025-03-25T00:00:00"/>
    <d v="2025-04-17T00:00:00"/>
    <n v="23"/>
    <x v="3"/>
    <x v="8"/>
    <s v="London"/>
    <s v="Consumer"/>
    <s v="Retail"/>
    <x v="10"/>
    <s v="Networking"/>
    <x v="84"/>
    <n v="1421.19"/>
    <n v="1808.26"/>
    <n v="0.104"/>
    <n v="13"/>
    <x v="84"/>
    <n v="18475.47"/>
    <n v="2587.1424799999986"/>
    <n v="0.12283103449093123"/>
    <x v="3"/>
  </r>
  <r>
    <s v="ORD-2023-841426"/>
    <d v="2023-12-22T00:00:00"/>
    <d v="2023-12-23T00:00:00"/>
    <n v="1"/>
    <x v="0"/>
    <x v="11"/>
    <s v="Cape Town"/>
    <s v="Non-Profit"/>
    <s v="Marketplace"/>
    <x v="14"/>
    <s v="Components"/>
    <x v="85"/>
    <n v="1186.18"/>
    <n v="1285.0899999999999"/>
    <n v="7.0000000000000007E-2"/>
    <n v="11"/>
    <x v="85"/>
    <n v="13047.980000000001"/>
    <n v="98.49069999999665"/>
    <n v="7.4917977796121861E-3"/>
    <x v="4"/>
  </r>
  <r>
    <s v="ORD-2024-594592"/>
    <d v="2024-04-06T00:00:00"/>
    <d v="2024-04-25T00:00:00"/>
    <n v="19"/>
    <x v="1"/>
    <x v="9"/>
    <s v="Shanghai"/>
    <s v="Corporate"/>
    <s v="Retail"/>
    <x v="11"/>
    <s v="Components"/>
    <x v="86"/>
    <n v="1366.48"/>
    <n v="1678.14"/>
    <n v="0.154"/>
    <n v="10"/>
    <x v="86"/>
    <n v="13664.8"/>
    <n v="532.26440000000184"/>
    <n v="3.7491159087790132E-2"/>
    <x v="20"/>
  </r>
  <r>
    <s v="ORD-2025-863978"/>
    <d v="2025-08-07T00:00:00"/>
    <d v="2025-08-19T00:00:00"/>
    <n v="12"/>
    <x v="0"/>
    <x v="0"/>
    <s v="Nakuru"/>
    <s v="Corporate"/>
    <s v="Unknown"/>
    <x v="12"/>
    <s v="Components"/>
    <x v="87"/>
    <n v="601.51"/>
    <n v="679.35"/>
    <n v="0.188"/>
    <n v="3"/>
    <x v="87"/>
    <n v="1804.53"/>
    <n v="149.63339999999971"/>
    <n v="9.0418579626062243E-2"/>
    <x v="28"/>
  </r>
  <r>
    <s v="ORD-2024-604471"/>
    <d v="2024-01-21T00:00:00"/>
    <d v="2024-01-25T00:00:00"/>
    <n v="4"/>
    <x v="1"/>
    <x v="4"/>
    <s v="Delhi"/>
    <s v="Consumer"/>
    <s v="Direct"/>
    <x v="0"/>
    <s v="Monitors"/>
    <x v="88"/>
    <n v="523.70000000000005"/>
    <n v="1109.92"/>
    <n v="0.03"/>
    <n v="11"/>
    <x v="88"/>
    <n v="5760.7000000000007"/>
    <n v="6082.1463999999996"/>
    <n v="0.51357133197302973"/>
    <x v="9"/>
  </r>
  <r>
    <s v="ORD-2023-258768"/>
    <d v="2023-06-29T00:00:00"/>
    <d v="2023-07-02T00:00:00"/>
    <n v="3"/>
    <x v="1"/>
    <x v="2"/>
    <s v="Nagoya"/>
    <s v="Education"/>
    <s v="Marketplace"/>
    <x v="9"/>
    <s v="Monitors"/>
    <x v="89"/>
    <n v="55.65"/>
    <n v="83.57"/>
    <n v="6.6000000000000003E-2"/>
    <n v="8"/>
    <x v="89"/>
    <n v="445.2"/>
    <n v="179.23503999999997"/>
    <n v="0.2870355257449998"/>
    <x v="23"/>
  </r>
  <r>
    <s v="ORD-2025-626047"/>
    <d v="2025-04-28T00:00:00"/>
    <d v="2025-05-15T00:00:00"/>
    <n v="17"/>
    <x v="1"/>
    <x v="2"/>
    <s v="Nagoya"/>
    <s v="Education"/>
    <s v="Direct"/>
    <x v="13"/>
    <s v="Networking"/>
    <x v="90"/>
    <n v="691.19"/>
    <n v="1284.3"/>
    <n v="7.3999999999999996E-2"/>
    <n v="7"/>
    <x v="90"/>
    <n v="4838.33"/>
    <n v="3486.5026000000016"/>
    <n v="0.41880753253825198"/>
    <x v="19"/>
  </r>
  <r>
    <s v="ORD-2025-526752"/>
    <d v="2025-06-09T00:00:00"/>
    <d v="2025-06-25T00:00:00"/>
    <n v="16"/>
    <x v="1"/>
    <x v="4"/>
    <s v="Hyderabad"/>
    <s v="Enterprise"/>
    <s v="Distributor"/>
    <x v="12"/>
    <s v="Phones"/>
    <x v="91"/>
    <n v="527.33000000000004"/>
    <n v="911.72"/>
    <n v="0.14399999999999999"/>
    <n v="25"/>
    <x v="91"/>
    <n v="13183.250000000002"/>
    <n v="6327.5579999999991"/>
    <n v="0.32431040272652978"/>
    <x v="16"/>
  </r>
  <r>
    <s v="ORD-2023-374486"/>
    <d v="2023-06-24T00:00:00"/>
    <d v="2023-06-23T00:00:00"/>
    <n v="1"/>
    <x v="2"/>
    <x v="5"/>
    <s v="Rio de Janeiro"/>
    <s v="Non-Profit"/>
    <s v="Retail"/>
    <x v="6"/>
    <s v="Printers"/>
    <x v="92"/>
    <n v="804.01"/>
    <n v="1405.07"/>
    <n v="9.6000000000000002E-2"/>
    <n v="8"/>
    <x v="92"/>
    <n v="6432.08"/>
    <n v="3729.3862399999998"/>
    <n v="0.36701260939287439"/>
    <x v="23"/>
  </r>
  <r>
    <s v="ORD-2024-997336"/>
    <d v="2024-10-04T00:00:00"/>
    <d v="2024-11-02T00:00:00"/>
    <n v="29"/>
    <x v="0"/>
    <x v="1"/>
    <s v="Abuja"/>
    <s v="Corporate"/>
    <s v="Distributor"/>
    <x v="9"/>
    <s v="Accessories"/>
    <x v="93"/>
    <n v="412.09"/>
    <n v="968.94"/>
    <n v="9.9000000000000005E-2"/>
    <n v="23"/>
    <x v="93"/>
    <n v="9478.07"/>
    <n v="10601.273620000004"/>
    <n v="0.52796913189137418"/>
    <x v="1"/>
  </r>
  <r>
    <s v="ORD-2025-725646"/>
    <d v="2025-09-10T00:00:00"/>
    <d v="2025-09-30T00:00:00"/>
    <n v="20"/>
    <x v="0"/>
    <x v="0"/>
    <s v="Mombasa"/>
    <s v="Corporate"/>
    <s v="Direct"/>
    <x v="4"/>
    <s v="Phones"/>
    <x v="94"/>
    <n v="1009.48"/>
    <n v="1088.81"/>
    <n v="0.16"/>
    <n v="6"/>
    <x v="94"/>
    <n v="6056.88"/>
    <n v="569.27760000000035"/>
    <n v="0.10373885688219693"/>
    <x v="11"/>
  </r>
  <r>
    <s v="ORD-2023-868734"/>
    <d v="2023-04-06T00:00:00"/>
    <d v="2023-04-27T00:00:00"/>
    <n v="21"/>
    <x v="3"/>
    <x v="8"/>
    <s v="Manchester"/>
    <s v="Enterprise"/>
    <s v="Distributor"/>
    <x v="2"/>
    <s v="Printers"/>
    <x v="95"/>
    <n v="1084.79"/>
    <n v="2484.9899999999998"/>
    <n v="3.4000000000000002E-2"/>
    <n v="18"/>
    <x v="95"/>
    <n v="19526.22"/>
    <n v="23682.78611999999"/>
    <n v="0.54809837685755114"/>
    <x v="12"/>
  </r>
  <r>
    <s v="ORD-2025-262491"/>
    <d v="2025-08-01T00:00:00"/>
    <d v="2025-08-16T00:00:00"/>
    <n v="15"/>
    <x v="1"/>
    <x v="4"/>
    <s v="Unknown"/>
    <s v="Enterprise"/>
    <s v="Direct"/>
    <x v="7"/>
    <s v="Monitors"/>
    <x v="96"/>
    <n v="24.44"/>
    <n v="28.69"/>
    <n v="0.14599999999999999"/>
    <n v="6"/>
    <x v="96"/>
    <n v="146.64000000000001"/>
    <n v="0.36755999999999744"/>
    <n v="2.5002795774584476E-3"/>
    <x v="28"/>
  </r>
  <r>
    <s v="ORD-2024-638884"/>
    <d v="2024-05-28T00:00:00"/>
    <d v="2024-05-26T00:00:00"/>
    <n v="2"/>
    <x v="0"/>
    <x v="1"/>
    <s v="Abuja"/>
    <s v="Enterprise"/>
    <s v="Online"/>
    <x v="9"/>
    <s v="Accessories"/>
    <x v="97"/>
    <n v="1227.08"/>
    <n v="1896.62"/>
    <n v="0"/>
    <n v="18"/>
    <x v="97"/>
    <n v="22087.439999999999"/>
    <n v="12051.719999999998"/>
    <n v="0.353017473189147"/>
    <x v="7"/>
  </r>
  <r>
    <s v="ORD-2025-541501"/>
    <d v="2025-07-22T00:00:00"/>
    <d v="2025-08-18T00:00:00"/>
    <n v="27"/>
    <x v="1"/>
    <x v="9"/>
    <s v="Shenzhen"/>
    <s v="Non-Profit"/>
    <s v="Marketplace"/>
    <x v="12"/>
    <s v="Networking"/>
    <x v="98"/>
    <n v="547.32000000000005"/>
    <n v="419.17"/>
    <n v="9.1999999999999998E-2"/>
    <n v="14"/>
    <x v="98"/>
    <n v="7662.4800000000005"/>
    <n v="2333.9909600000001"/>
    <n v="0.43802116181137907"/>
    <x v="13"/>
  </r>
  <r>
    <s v="ORD-2023-422918"/>
    <d v="2023-02-28T00:00:00"/>
    <d v="2023-03-20T00:00:00"/>
    <n v="20"/>
    <x v="3"/>
    <x v="6"/>
    <s v="Berlin"/>
    <s v="Small Business"/>
    <s v="Direct"/>
    <x v="10"/>
    <s v="Laptops"/>
    <x v="99"/>
    <n v="1200.78"/>
    <n v="2001.17"/>
    <n v="0.29199999999999998"/>
    <n v="18"/>
    <x v="99"/>
    <n v="21614.04"/>
    <n v="3888.8704799999978"/>
    <n v="0.15248732034132906"/>
    <x v="2"/>
  </r>
  <r>
    <s v="ORD-2025-328504"/>
    <d v="2025-01-27T00:00:00"/>
    <d v="2025-02-15T00:00:00"/>
    <n v="19"/>
    <x v="1"/>
    <x v="9"/>
    <s v="Shenzhen"/>
    <s v="Non-Profit"/>
    <s v="Direct"/>
    <x v="4"/>
    <s v="Phones"/>
    <x v="100"/>
    <n v="1253.22"/>
    <n v="3104.71"/>
    <n v="0"/>
    <n v="17"/>
    <x v="100"/>
    <n v="21304.74"/>
    <n v="31475.329999999998"/>
    <n v="0.59634877331538205"/>
    <x v="10"/>
  </r>
  <r>
    <s v="ORD-2024-851883"/>
    <d v="2024-01-13T00:00:00"/>
    <d v="2024-01-22T00:00:00"/>
    <n v="9"/>
    <x v="1"/>
    <x v="4"/>
    <s v="Mumbai"/>
    <s v="Enterprise"/>
    <s v="Marketplace"/>
    <x v="1"/>
    <s v="Components"/>
    <x v="101"/>
    <n v="313.60000000000002"/>
    <n v="334.28"/>
    <n v="0.14000000000000001"/>
    <n v="22"/>
    <x v="101"/>
    <n v="6899.2000000000007"/>
    <n v="574.62240000000111"/>
    <n v="9.0855458868905517E-2"/>
    <x v="9"/>
  </r>
  <r>
    <s v="ORD-2025-662997"/>
    <d v="2025-03-31T00:00:00"/>
    <d v="2025-04-04T00:00:00"/>
    <n v="4"/>
    <x v="0"/>
    <x v="0"/>
    <s v="Nakuru"/>
    <s v="Corporate"/>
    <s v="Direct"/>
    <x v="0"/>
    <s v="Laptops"/>
    <x v="102"/>
    <n v="862.08"/>
    <n v="1952.83"/>
    <n v="0"/>
    <n v="7"/>
    <x v="102"/>
    <n v="6034.56"/>
    <n v="7635.2499999999991"/>
    <n v="0.5585483631447693"/>
    <x v="3"/>
  </r>
  <r>
    <s v="ORD-2024-478165"/>
    <d v="2024-12-05T00:00:00"/>
    <d v="2024-12-28T00:00:00"/>
    <n v="23"/>
    <x v="2"/>
    <x v="3"/>
    <s v="Vancouver"/>
    <s v="Corporate"/>
    <s v="Direct"/>
    <x v="9"/>
    <s v="Accessories"/>
    <x v="103"/>
    <n v="107.03"/>
    <n v="242.29"/>
    <n v="0.18"/>
    <n v="30"/>
    <x v="103"/>
    <n v="3210.9"/>
    <n v="2749.4340000000007"/>
    <n v="0.46128857879440988"/>
    <x v="6"/>
  </r>
  <r>
    <s v="ORD-2024-771210"/>
    <d v="2024-09-14T00:00:00"/>
    <d v="2024-10-05T00:00:00"/>
    <n v="21"/>
    <x v="1"/>
    <x v="9"/>
    <s v="Shanghai"/>
    <s v="Small Business"/>
    <s v="Online"/>
    <x v="10"/>
    <s v="Laptops"/>
    <x v="104"/>
    <n v="1405.56"/>
    <n v="2968.87"/>
    <n v="0.16900000000000001"/>
    <n v="5"/>
    <x v="104"/>
    <n v="7027.7999999999993"/>
    <n v="5307.8548499999997"/>
    <n v="0.4302856163327235"/>
    <x v="29"/>
  </r>
  <r>
    <s v="ORD-2024-155337"/>
    <d v="2024-05-21T00:00:00"/>
    <d v="2024-05-27T00:00:00"/>
    <n v="6"/>
    <x v="0"/>
    <x v="11"/>
    <s v="Johannesburg"/>
    <s v="Non-Profit"/>
    <s v="Online"/>
    <x v="12"/>
    <s v="Components"/>
    <x v="105"/>
    <n v="1157.51"/>
    <n v="1394.3"/>
    <n v="0.27800000000000002"/>
    <n v="12"/>
    <x v="105"/>
    <n v="13890.119999999999"/>
    <n v="1809.9048000000003"/>
    <n v="0.14982388724333326"/>
    <x v="7"/>
  </r>
  <r>
    <s v="ORD-2023-251563"/>
    <d v="2023-05-11T00:00:00"/>
    <d v="2023-06-07T00:00:00"/>
    <n v="27"/>
    <x v="0"/>
    <x v="0"/>
    <s v="Mombasa"/>
    <s v="Corporate"/>
    <s v="Online"/>
    <x v="1"/>
    <s v="Phones"/>
    <x v="106"/>
    <n v="12.85"/>
    <n v="15.41"/>
    <n v="0.13700000000000001"/>
    <n v="39"/>
    <x v="106"/>
    <n v="501.15"/>
    <n v="17.504369999999994"/>
    <n v="3.3749585489851353E-2"/>
    <x v="15"/>
  </r>
  <r>
    <s v="ORD-2024-286833"/>
    <d v="2024-08-14T00:00:00"/>
    <d v="2024-09-04T00:00:00"/>
    <n v="21"/>
    <x v="3"/>
    <x v="8"/>
    <s v="Manchester"/>
    <s v="Non-Profit"/>
    <s v="Online"/>
    <x v="1"/>
    <s v="Phones"/>
    <x v="107"/>
    <n v="1138.8"/>
    <n v="2250.81"/>
    <n v="0.123"/>
    <n v="12"/>
    <x v="107"/>
    <n v="13665.599999999999"/>
    <n v="10021.924440000003"/>
    <n v="0.42308872188756258"/>
    <x v="21"/>
  </r>
  <r>
    <s v="ORD-2024-792558"/>
    <d v="2024-10-16T00:00:00"/>
    <d v="2024-11-08T00:00:00"/>
    <n v="23"/>
    <x v="1"/>
    <x v="2"/>
    <s v="Osaka"/>
    <s v="Small Business"/>
    <s v="Retail"/>
    <x v="1"/>
    <s v="Networking"/>
    <x v="108"/>
    <n v="82.14"/>
    <n v="166.04"/>
    <n v="0"/>
    <n v="10"/>
    <x v="108"/>
    <n v="821.4"/>
    <n v="838.99999999999989"/>
    <n v="0.50529992772825827"/>
    <x v="1"/>
  </r>
  <r>
    <s v="ORD-2024-166150"/>
    <d v="2024-06-02T00:00:00"/>
    <d v="2024-06-08T00:00:00"/>
    <n v="6"/>
    <x v="0"/>
    <x v="0"/>
    <s v="Kisumu"/>
    <s v="Consumer"/>
    <s v="Marketplace"/>
    <x v="8"/>
    <s v="Accessories"/>
    <x v="109"/>
    <n v="292.94"/>
    <n v="356.55"/>
    <n v="0.22900000000000001"/>
    <n v="2"/>
    <x v="109"/>
    <n v="585.88"/>
    <n v="36.079899999999952"/>
    <n v="6.5623669402751925E-2"/>
    <x v="17"/>
  </r>
  <r>
    <s v="ORD-2024-909942"/>
    <d v="2024-06-09T00:00:00"/>
    <d v="2024-07-07T00:00:00"/>
    <n v="28"/>
    <x v="1"/>
    <x v="9"/>
    <s v="Shenzhen"/>
    <s v="Corporate"/>
    <s v="Online"/>
    <x v="1"/>
    <s v="Components"/>
    <x v="110"/>
    <n v="550.22"/>
    <n v="1025.05"/>
    <n v="0"/>
    <n v="27"/>
    <x v="110"/>
    <n v="14855.94"/>
    <n v="12820.409999999998"/>
    <n v="0.46322618408858102"/>
    <x v="17"/>
  </r>
  <r>
    <s v="ORD-2024-223618"/>
    <d v="2024-06-10T00:00:00"/>
    <d v="2024-06-11T00:00:00"/>
    <n v="1"/>
    <x v="3"/>
    <x v="8"/>
    <s v="Birmingham"/>
    <s v="Small Business"/>
    <s v="Marketplace"/>
    <x v="12"/>
    <s v="Laptops"/>
    <x v="111"/>
    <n v="1187.1300000000001"/>
    <n v="1795.17"/>
    <n v="1.2E-2"/>
    <n v="17"/>
    <x v="111"/>
    <n v="20181.210000000003"/>
    <n v="9970.4653199999957"/>
    <n v="0.33067699271046663"/>
    <x v="17"/>
  </r>
  <r>
    <s v="ORD-2024-919471"/>
    <d v="2024-06-29T00:00:00"/>
    <d v="2024-07-26T00:00:00"/>
    <n v="27"/>
    <x v="0"/>
    <x v="11"/>
    <s v="Durban"/>
    <s v="Enterprise"/>
    <s v="Distributor"/>
    <x v="5"/>
    <s v="Networking"/>
    <x v="112"/>
    <n v="5.36"/>
    <n v="4.37"/>
    <n v="0.11799999999999999"/>
    <n v="9"/>
    <x v="112"/>
    <n v="48.24"/>
    <n v="13.550940000000004"/>
    <n v="0.39064016148030545"/>
    <x v="17"/>
  </r>
  <r>
    <s v="ORD-2025-649239"/>
    <d v="2025-01-17T00:00:00"/>
    <d v="2025-01-24T00:00:00"/>
    <n v="7"/>
    <x v="2"/>
    <x v="10"/>
    <s v="Austin"/>
    <s v="Enterprise"/>
    <s v="Online"/>
    <x v="3"/>
    <s v="Accessories"/>
    <x v="113"/>
    <n v="142.09"/>
    <n v="218.5"/>
    <n v="0.11899999999999999"/>
    <n v="11"/>
    <x v="113"/>
    <n v="1562.99"/>
    <n v="554.49349999999981"/>
    <n v="0.26186437816398561"/>
    <x v="10"/>
  </r>
  <r>
    <s v="ORD-2023-975863"/>
    <d v="2023-11-20T00:00:00"/>
    <d v="2023-12-05T00:00:00"/>
    <n v="15"/>
    <x v="1"/>
    <x v="2"/>
    <s v="Tokyo"/>
    <s v="Enterprise"/>
    <s v="Retail"/>
    <x v="4"/>
    <s v="Networking"/>
    <x v="114"/>
    <n v="354.24"/>
    <n v="249.87"/>
    <n v="0"/>
    <n v="6"/>
    <x v="114"/>
    <n v="2125.44"/>
    <n v="626.22"/>
    <n v="0.41769720254532355"/>
    <x v="30"/>
  </r>
  <r>
    <s v="ORD-2023-869884"/>
    <d v="2023-03-02T00:00:00"/>
    <d v="2023-03-05T00:00:00"/>
    <n v="3"/>
    <x v="2"/>
    <x v="5"/>
    <s v="Brasília"/>
    <s v="Enterprise"/>
    <s v="Direct"/>
    <x v="3"/>
    <s v="Monitors"/>
    <x v="115"/>
    <n v="1473.58"/>
    <n v="3436.52"/>
    <n v="0.108"/>
    <n v="8"/>
    <x v="115"/>
    <n v="11788.64"/>
    <n v="12734.366720000002"/>
    <n v="0.51928243813652564"/>
    <x v="22"/>
  </r>
  <r>
    <s v="ORD-2025-698069"/>
    <d v="2025-06-03T00:00:00"/>
    <d v="2025-06-10T00:00:00"/>
    <n v="7"/>
    <x v="2"/>
    <x v="3"/>
    <s v="Toronto"/>
    <s v="Consumer"/>
    <s v="Distributor"/>
    <x v="7"/>
    <s v="Printers"/>
    <x v="116"/>
    <n v="75.180000000000007"/>
    <n v="53.45"/>
    <n v="0.157"/>
    <n v="17"/>
    <x v="116"/>
    <n v="1278.0600000000002"/>
    <n v="512.06805000000008"/>
    <n v="0.66850317421743144"/>
    <x v="16"/>
  </r>
  <r>
    <s v="ORD-2024-474999"/>
    <d v="2024-12-27T00:00:00"/>
    <d v="2025-01-02T00:00:00"/>
    <n v="6"/>
    <x v="3"/>
    <x v="6"/>
    <s v="Frankfurt"/>
    <s v="Education"/>
    <s v="Direct"/>
    <x v="9"/>
    <s v="Laptops"/>
    <x v="117"/>
    <n v="1391.99"/>
    <n v="3469.7"/>
    <n v="0.184"/>
    <n v="23"/>
    <x v="117"/>
    <n v="32015.77"/>
    <n v="33103.559599999993"/>
    <n v="0.50835227886006973"/>
    <x v="6"/>
  </r>
  <r>
    <s v="ORD-2023-427304"/>
    <d v="2023-06-09T00:00:00"/>
    <d v="2023-06-19T00:00:00"/>
    <n v="10"/>
    <x v="1"/>
    <x v="9"/>
    <s v="Beijing"/>
    <s v="Enterprise"/>
    <s v="Retail"/>
    <x v="9"/>
    <s v="Monitors"/>
    <x v="118"/>
    <n v="339.61"/>
    <n v="621.02"/>
    <n v="7.0999999999999994E-2"/>
    <n v="10"/>
    <x v="118"/>
    <n v="3396.1000000000004"/>
    <n v="2373.1758"/>
    <n v="0.41134726129750981"/>
    <x v="23"/>
  </r>
  <r>
    <s v="ORD-2025-956101"/>
    <d v="2025-07-09T00:00:00"/>
    <d v="2025-07-18T00:00:00"/>
    <n v="9"/>
    <x v="2"/>
    <x v="3"/>
    <s v="Vancouver"/>
    <s v="Education"/>
    <s v="Distributor"/>
    <x v="2"/>
    <s v="Laptops"/>
    <x v="119"/>
    <n v="57.96"/>
    <n v="88.51"/>
    <n v="4.2999999999999997E-2"/>
    <n v="7"/>
    <x v="119"/>
    <n v="405.72"/>
    <n v="187.20848999999998"/>
    <n v="0.3157353595877978"/>
    <x v="13"/>
  </r>
  <r>
    <s v="ORD-2025-184082"/>
    <d v="2025-06-19T00:00:00"/>
    <d v="2025-07-12T00:00:00"/>
    <n v="23"/>
    <x v="3"/>
    <x v="8"/>
    <s v="Unknown"/>
    <s v="Non-Profit"/>
    <s v="Direct"/>
    <x v="15"/>
    <s v="Networking"/>
    <x v="120"/>
    <n v="801.24"/>
    <n v="1959.09"/>
    <n v="0.123"/>
    <n v="23"/>
    <x v="120"/>
    <n v="18428.52"/>
    <n v="21088.284389999997"/>
    <n v="0.53365358650651762"/>
    <x v="16"/>
  </r>
  <r>
    <s v="ORD-2023-576840"/>
    <d v="2023-11-19T00:00:00"/>
    <d v="2023-12-13T00:00:00"/>
    <n v="24"/>
    <x v="3"/>
    <x v="7"/>
    <s v="Lyon"/>
    <s v="Non-Profit"/>
    <s v="Direct"/>
    <x v="10"/>
    <s v="Monitors"/>
    <x v="121"/>
    <n v="1297.42"/>
    <n v="2742.97"/>
    <n v="6.9000000000000006E-2"/>
    <n v="9"/>
    <x v="121"/>
    <n v="11676.78"/>
    <n v="11306.565629999999"/>
    <n v="0.49194602961727291"/>
    <x v="30"/>
  </r>
  <r>
    <s v="ORD-2023-178249"/>
    <d v="2023-12-29T00:00:00"/>
    <d v="2024-01-20T00:00:00"/>
    <n v="22"/>
    <x v="0"/>
    <x v="0"/>
    <s v="Kisumu"/>
    <s v="Corporate"/>
    <s v="Direct"/>
    <x v="4"/>
    <s v="Phones"/>
    <x v="122"/>
    <n v="1395.49"/>
    <n v="1679.42"/>
    <n v="0.20300000000000001"/>
    <n v="12"/>
    <x v="122"/>
    <n v="16745.88"/>
    <n v="683.90712000000167"/>
    <n v="4.2579272490964493E-2"/>
    <x v="4"/>
  </r>
  <r>
    <s v="ORD-2024-588972"/>
    <d v="2024-11-02T00:00:00"/>
    <d v="2024-11-29T00:00:00"/>
    <n v="27"/>
    <x v="2"/>
    <x v="5"/>
    <s v="Brasília"/>
    <s v="Small Business"/>
    <s v="Direct"/>
    <x v="2"/>
    <s v="Networking"/>
    <x v="123"/>
    <n v="1363.51"/>
    <n v="1433.9"/>
    <n v="5.7000000000000002E-2"/>
    <n v="8"/>
    <x v="123"/>
    <n v="10908.08"/>
    <n v="90.738400000000183"/>
    <n v="8.3882346842037592E-3"/>
    <x v="18"/>
  </r>
  <r>
    <s v="ORD-2023-603238"/>
    <d v="2023-08-21T00:00:00"/>
    <d v="2023-09-04T00:00:00"/>
    <n v="14"/>
    <x v="2"/>
    <x v="3"/>
    <s v="Montreal"/>
    <s v="Education"/>
    <s v="Distributor"/>
    <x v="9"/>
    <s v="Components"/>
    <x v="124"/>
    <n v="178.19"/>
    <n v="284.43"/>
    <n v="8.8999999999999996E-2"/>
    <n v="8"/>
    <x v="124"/>
    <n v="1425.52"/>
    <n v="647.40584000000035"/>
    <n v="0.31231500302972742"/>
    <x v="25"/>
  </r>
  <r>
    <s v="ORD-2023-883066"/>
    <d v="2023-08-12T00:00:00"/>
    <d v="2023-09-06T00:00:00"/>
    <n v="25"/>
    <x v="1"/>
    <x v="9"/>
    <s v="Shanghai"/>
    <s v="Small Business"/>
    <s v="Retail"/>
    <x v="5"/>
    <s v="Components"/>
    <x v="125"/>
    <n v="950.77"/>
    <n v="694.78"/>
    <n v="8.4000000000000005E-2"/>
    <n v="14"/>
    <x v="125"/>
    <n v="13310.779999999999"/>
    <n v="4400.9212799999987"/>
    <n v="0.49393839097821279"/>
    <x v="25"/>
  </r>
  <r>
    <s v="ORD-2024-584090"/>
    <d v="2024-06-07T00:00:00"/>
    <d v="2024-06-26T00:00:00"/>
    <n v="19"/>
    <x v="3"/>
    <x v="6"/>
    <s v="Berlin"/>
    <s v="Non-Profit"/>
    <s v="Marketplace"/>
    <x v="12"/>
    <s v="Components"/>
    <x v="126"/>
    <n v="1064.32"/>
    <n v="1848.39"/>
    <n v="7.2999999999999995E-2"/>
    <n v="38"/>
    <x v="126"/>
    <n v="40444.159999999996"/>
    <n v="24667.226140000013"/>
    <n v="0.3788465827921631"/>
    <x v="17"/>
  </r>
  <r>
    <s v="ORD-2025-537785"/>
    <d v="2025-08-05T00:00:00"/>
    <d v="2025-08-14T00:00:00"/>
    <n v="9"/>
    <x v="3"/>
    <x v="8"/>
    <s v="London"/>
    <s v="Non-Profit"/>
    <s v="Direct"/>
    <x v="6"/>
    <s v="Components"/>
    <x v="127"/>
    <n v="41.76"/>
    <n v="45.19"/>
    <n v="0.17899999999999999"/>
    <n v="23"/>
    <x v="127"/>
    <n v="960.4799999999999"/>
    <n v="107.15723000000003"/>
    <n v="0.12557643340514638"/>
    <x v="28"/>
  </r>
  <r>
    <s v="ORD-2024-605518"/>
    <d v="2024-05-30T00:00:00"/>
    <d v="2024-06-13T00:00:00"/>
    <n v="14"/>
    <x v="2"/>
    <x v="10"/>
    <s v="San Francisco"/>
    <s v="Small Business"/>
    <s v="Retail"/>
    <x v="9"/>
    <s v="Phones"/>
    <x v="128"/>
    <n v="157.78"/>
    <n v="361.1"/>
    <n v="0.187"/>
    <n v="9"/>
    <x v="128"/>
    <n v="1420.02"/>
    <n v="1222.1486999999997"/>
    <n v="0.46255513510549112"/>
    <x v="7"/>
  </r>
  <r>
    <s v="ORD-2023-521818"/>
    <d v="2023-01-22T00:00:00"/>
    <d v="2023-01-30T00:00:00"/>
    <n v="8"/>
    <x v="2"/>
    <x v="10"/>
    <s v="San Francisco"/>
    <s v="Small Business"/>
    <s v="Online"/>
    <x v="8"/>
    <s v="Networking"/>
    <x v="129"/>
    <n v="413.52"/>
    <n v="1004.34"/>
    <n v="0.111"/>
    <n v="18"/>
    <x v="129"/>
    <n v="7443.36"/>
    <n v="8628.0886800000007"/>
    <n v="0.53685817948304593"/>
    <x v="5"/>
  </r>
  <r>
    <s v="ORD-2025-650719"/>
    <d v="2025-02-12T00:00:00"/>
    <d v="2025-02-28T00:00:00"/>
    <n v="16"/>
    <x v="2"/>
    <x v="5"/>
    <s v="São Paulo"/>
    <s v="Non-Profit"/>
    <s v="Direct"/>
    <x v="5"/>
    <s v="Monitors"/>
    <x v="130"/>
    <n v="414.95"/>
    <n v="1027.73"/>
    <n v="6.3E-2"/>
    <n v="8"/>
    <x v="130"/>
    <n v="3319.6"/>
    <n v="4384.2640800000008"/>
    <n v="0.56909935513815568"/>
    <x v="26"/>
  </r>
  <r>
    <s v="ORD-2025-501927"/>
    <d v="2025-03-03T00:00:00"/>
    <d v="2025-03-24T00:00:00"/>
    <n v="21"/>
    <x v="0"/>
    <x v="1"/>
    <s v="Abuja"/>
    <s v="Enterprise"/>
    <s v="Direct"/>
    <x v="10"/>
    <s v="Accessories"/>
    <x v="131"/>
    <n v="555.95000000000005"/>
    <n v="468.09"/>
    <n v="0.14199999999999999"/>
    <n v="11"/>
    <x v="131"/>
    <n v="6115.4500000000007"/>
    <n v="1697.6165800000008"/>
    <n v="0.38426450674095375"/>
    <x v="3"/>
  </r>
  <r>
    <s v="ORD-2023-430904"/>
    <d v="2023-01-27T00:00:00"/>
    <d v="2023-01-31T00:00:00"/>
    <n v="4"/>
    <x v="3"/>
    <x v="8"/>
    <s v="Manchester"/>
    <s v="Enterprise"/>
    <s v="Online"/>
    <x v="13"/>
    <s v="Laptops"/>
    <x v="132"/>
    <n v="941.2"/>
    <n v="668.02"/>
    <n v="0.22"/>
    <n v="16"/>
    <x v="132"/>
    <n v="15059.2"/>
    <n v="6722.3104000000003"/>
    <n v="0.80633314371825193"/>
    <x v="5"/>
  </r>
  <r>
    <s v="ORD-2025-354346"/>
    <d v="2025-01-09T00:00:00"/>
    <d v="2025-01-15T00:00:00"/>
    <n v="6"/>
    <x v="1"/>
    <x v="9"/>
    <s v="Beijing"/>
    <s v="Education"/>
    <s v="Online"/>
    <x v="0"/>
    <s v="Phones"/>
    <x v="133"/>
    <n v="304.77999999999997"/>
    <n v="537.27"/>
    <n v="0.187"/>
    <n v="8"/>
    <x v="133"/>
    <n v="2438.2399999999998"/>
    <n v="1056.16408"/>
    <n v="0.3022444044307549"/>
    <x v="10"/>
  </r>
  <r>
    <s v="ORD-2024-164288"/>
    <d v="2024-12-21T00:00:00"/>
    <d v="2024-12-26T00:00:00"/>
    <n v="5"/>
    <x v="2"/>
    <x v="10"/>
    <s v="San Francisco"/>
    <s v="Consumer"/>
    <s v="Marketplace"/>
    <x v="12"/>
    <s v="Printers"/>
    <x v="134"/>
    <n v="699.57"/>
    <n v="572.71"/>
    <n v="0.192"/>
    <n v="26"/>
    <x v="134"/>
    <n v="18188.82"/>
    <n v="6157.3283199999987"/>
    <n v="0.51176765805651114"/>
    <x v="6"/>
  </r>
  <r>
    <s v="ORD-2023-867285"/>
    <d v="2023-04-12T00:00:00"/>
    <d v="2023-04-17T00:00:00"/>
    <n v="5"/>
    <x v="3"/>
    <x v="7"/>
    <s v="Lyon"/>
    <s v="Enterprise"/>
    <s v="Direct"/>
    <x v="6"/>
    <s v="Monitors"/>
    <x v="135"/>
    <n v="1087.81"/>
    <n v="2323.87"/>
    <n v="9.4E-2"/>
    <n v="13"/>
    <x v="135"/>
    <n v="14141.529999999999"/>
    <n v="13229.010859999999"/>
    <n v="0.48333026839572651"/>
    <x v="12"/>
  </r>
  <r>
    <s v="ORD-2024-836421"/>
    <d v="2024-12-14T00:00:00"/>
    <d v="2025-01-12T00:00:00"/>
    <n v="29"/>
    <x v="1"/>
    <x v="9"/>
    <s v="Shenzhen"/>
    <s v="Education"/>
    <s v="Online"/>
    <x v="1"/>
    <s v="Components"/>
    <x v="136"/>
    <n v="1412.15"/>
    <n v="1631.04"/>
    <n v="8.9999999999999993E-3"/>
    <n v="6"/>
    <x v="136"/>
    <n v="8472.9000000000015"/>
    <n v="1225.2638399999978"/>
    <n v="0.12633977526203535"/>
    <x v="6"/>
  </r>
  <r>
    <s v="ORD-2023-613287"/>
    <d v="2023-03-31T00:00:00"/>
    <d v="2023-04-12T00:00:00"/>
    <n v="12"/>
    <x v="0"/>
    <x v="0"/>
    <s v="Mombasa"/>
    <s v="Small Business"/>
    <s v="Online"/>
    <x v="0"/>
    <s v="Phones"/>
    <x v="137"/>
    <n v="304.22000000000003"/>
    <n v="393.31"/>
    <n v="0.26500000000000001"/>
    <n v="15"/>
    <x v="137"/>
    <n v="4563.3"/>
    <n v="227.05725000000075"/>
    <n v="5.2362670424759034E-2"/>
    <x v="22"/>
  </r>
  <r>
    <s v="ORD-2024-783321"/>
    <d v="2024-11-20T00:00:00"/>
    <d v="2024-12-15T00:00:00"/>
    <n v="25"/>
    <x v="3"/>
    <x v="7"/>
    <s v="Paris"/>
    <s v="Corporate"/>
    <s v="Online"/>
    <x v="3"/>
    <s v="Printers"/>
    <x v="138"/>
    <n v="1203.58"/>
    <n v="1856.16"/>
    <n v="0.129"/>
    <n v="22"/>
    <x v="138"/>
    <n v="26478.76"/>
    <n v="9088.9779200000085"/>
    <n v="0.25553994860295032"/>
    <x v="18"/>
  </r>
  <r>
    <s v="ORD-2024-232632"/>
    <d v="2024-02-14T00:00:00"/>
    <d v="2024-02-14T00:00:00"/>
    <n v="0"/>
    <x v="1"/>
    <x v="9"/>
    <s v="Beijing"/>
    <s v="Corporate"/>
    <s v="Distributor"/>
    <x v="4"/>
    <s v="Accessories"/>
    <x v="139"/>
    <n v="65.930000000000007"/>
    <n v="84.9"/>
    <n v="0.25900000000000001"/>
    <n v="23"/>
    <x v="139"/>
    <n v="1516.39"/>
    <n v="69.439300000000003"/>
    <n v="4.7990093926489688E-2"/>
    <x v="31"/>
  </r>
  <r>
    <s v="ORD-2023-906481"/>
    <d v="2023-05-02T00:00:00"/>
    <d v="2023-05-18T00:00:00"/>
    <n v="16"/>
    <x v="1"/>
    <x v="4"/>
    <s v="Delhi"/>
    <s v="Small Business"/>
    <s v="Marketplace"/>
    <x v="11"/>
    <s v="Monitors"/>
    <x v="140"/>
    <n v="1463.92"/>
    <n v="2252.2399999999998"/>
    <n v="0.11799999999999999"/>
    <n v="44"/>
    <x v="140"/>
    <n v="64412.480000000003"/>
    <n v="22992.449919999992"/>
    <n v="0.26305667130040061"/>
    <x v="15"/>
  </r>
  <r>
    <s v="ORD-2024-902741"/>
    <d v="2024-12-23T00:00:00"/>
    <d v="2025-01-11T00:00:00"/>
    <n v="19"/>
    <x v="3"/>
    <x v="6"/>
    <s v="Berlin"/>
    <s v="Education"/>
    <s v="Retail"/>
    <x v="11"/>
    <s v="Phones"/>
    <x v="141"/>
    <n v="501.81"/>
    <n v="921.62"/>
    <n v="0.01"/>
    <n v="9"/>
    <x v="141"/>
    <n v="4516.29"/>
    <n v="3695.3442000000005"/>
    <n v="0.45001325071202031"/>
    <x v="6"/>
  </r>
  <r>
    <s v="ORD-2023-912395"/>
    <d v="2023-07-26T00:00:00"/>
    <d v="2023-08-25T00:00:00"/>
    <n v="30"/>
    <x v="2"/>
    <x v="10"/>
    <s v="New York"/>
    <s v="Consumer"/>
    <s v="Retail"/>
    <x v="12"/>
    <s v="Accessories"/>
    <x v="142"/>
    <n v="1261.48"/>
    <n v="1643.18"/>
    <n v="0.151"/>
    <n v="23"/>
    <x v="142"/>
    <n v="29014.04"/>
    <n v="3072.3358599999992"/>
    <n v="9.5752037357079045E-2"/>
    <x v="24"/>
  </r>
  <r>
    <s v="ORD-2024-389102"/>
    <d v="2024-06-15T00:00:00"/>
    <d v="2024-07-06T00:00:00"/>
    <n v="21"/>
    <x v="2"/>
    <x v="3"/>
    <s v="Toronto"/>
    <s v="Enterprise"/>
    <s v="Distributor"/>
    <x v="4"/>
    <s v="Printers"/>
    <x v="143"/>
    <n v="817.23"/>
    <n v="1467.17"/>
    <n v="0.245"/>
    <n v="9"/>
    <x v="143"/>
    <n v="7355.07"/>
    <n v="2614.3501500000002"/>
    <n v="0.26223693160328893"/>
    <x v="17"/>
  </r>
  <r>
    <s v="ORD-2023-309373"/>
    <d v="2023-07-05T00:00:00"/>
    <d v="2023-07-14T00:00:00"/>
    <n v="9"/>
    <x v="2"/>
    <x v="5"/>
    <s v="Brasília"/>
    <s v="Enterprise"/>
    <s v="Direct"/>
    <x v="5"/>
    <s v="Networking"/>
    <x v="144"/>
    <n v="578.85"/>
    <n v="998.76"/>
    <n v="8.2000000000000003E-2"/>
    <n v="28"/>
    <x v="144"/>
    <n v="16207.800000000001"/>
    <n v="9464.3270399999983"/>
    <n v="0.36866158480960831"/>
    <x v="24"/>
  </r>
  <r>
    <s v="ORD-2023-825495"/>
    <d v="2023-11-30T00:00:00"/>
    <d v="2023-11-29T00:00:00"/>
    <n v="1"/>
    <x v="0"/>
    <x v="11"/>
    <s v="Durban"/>
    <s v="Small Business"/>
    <s v="Marketplace"/>
    <x v="6"/>
    <s v="Laptops"/>
    <x v="145"/>
    <n v="275.56"/>
    <n v="630.72"/>
    <n v="0.107"/>
    <n v="23"/>
    <x v="145"/>
    <n v="6337.88"/>
    <n v="6616.4780800000017"/>
    <n v="0.5107530638831933"/>
    <x v="30"/>
  </r>
  <r>
    <s v="ORD-2025-244832"/>
    <d v="2025-09-11T00:00:00"/>
    <d v="2025-09-28T00:00:00"/>
    <n v="17"/>
    <x v="0"/>
    <x v="0"/>
    <s v="Nairobi"/>
    <s v="Non-Profit"/>
    <s v="Distributor"/>
    <x v="1"/>
    <s v="Laptops"/>
    <x v="146"/>
    <n v="891.46"/>
    <n v="728.61"/>
    <n v="0.185"/>
    <n v="6"/>
    <x v="146"/>
    <n v="5348.76"/>
    <n v="1785.8571000000006"/>
    <n v="0.50123653383874167"/>
    <x v="11"/>
  </r>
  <r>
    <s v="ORD-2024-211453"/>
    <d v="2024-04-04T00:00:00"/>
    <d v="2024-04-24T00:00:00"/>
    <n v="20"/>
    <x v="3"/>
    <x v="6"/>
    <s v="Frankfurt"/>
    <s v="Non-Profit"/>
    <s v="Direct"/>
    <x v="7"/>
    <s v="Accessories"/>
    <x v="147"/>
    <n v="683.42"/>
    <n v="951.51"/>
    <n v="0"/>
    <n v="14"/>
    <x v="147"/>
    <n v="9567.8799999999992"/>
    <n v="3753.26"/>
    <n v="0.28175216235247136"/>
    <x v="20"/>
  </r>
  <r>
    <s v="ORD-2023-192324"/>
    <d v="2023-09-14T00:00:00"/>
    <d v="2023-09-16T00:00:00"/>
    <n v="2"/>
    <x v="3"/>
    <x v="7"/>
    <s v="Lyon"/>
    <s v="Non-Profit"/>
    <s v="Direct"/>
    <x v="5"/>
    <s v="Printers"/>
    <x v="148"/>
    <n v="376.83"/>
    <n v="732.88"/>
    <n v="0.188"/>
    <n v="25"/>
    <x v="148"/>
    <n v="9420.75"/>
    <n v="5456.7140000000018"/>
    <n v="0.36677716040852132"/>
    <x v="27"/>
  </r>
  <r>
    <s v="ORD-2024-438404"/>
    <d v="2024-09-23T00:00:00"/>
    <d v="2024-10-18T00:00:00"/>
    <n v="25"/>
    <x v="2"/>
    <x v="3"/>
    <s v="Vancouver"/>
    <s v="Small Business"/>
    <s v="Online"/>
    <x v="13"/>
    <s v="Phones"/>
    <x v="149"/>
    <n v="1297"/>
    <n v="2411.52"/>
    <n v="2.1000000000000001E-2"/>
    <n v="18"/>
    <x v="149"/>
    <n v="23346"/>
    <n v="19149.805439999996"/>
    <n v="0.45062813239385913"/>
    <x v="29"/>
  </r>
  <r>
    <s v="ORD-2025-246470"/>
    <d v="2025-04-16T00:00:00"/>
    <d v="2025-05-16T00:00:00"/>
    <n v="30"/>
    <x v="2"/>
    <x v="3"/>
    <s v="Montreal"/>
    <s v="Enterprise"/>
    <s v="Distributor"/>
    <x v="11"/>
    <s v="Printers"/>
    <x v="150"/>
    <n v="763.32"/>
    <n v="568.29"/>
    <n v="0.13100000000000001"/>
    <n v="16"/>
    <x v="150"/>
    <n v="12213.12"/>
    <n v="4311.6158400000013"/>
    <n v="0.54567026134426555"/>
    <x v="19"/>
  </r>
  <r>
    <s v="ORD-2023-497686"/>
    <d v="2023-07-03T00:00:00"/>
    <d v="2023-07-23T00:00:00"/>
    <n v="20"/>
    <x v="0"/>
    <x v="11"/>
    <s v="Johannesburg"/>
    <s v="Small Business"/>
    <s v="Distributor"/>
    <x v="9"/>
    <s v="Laptops"/>
    <x v="151"/>
    <n v="1001.96"/>
    <n v="1254.95"/>
    <n v="4.4999999999999998E-2"/>
    <n v="18"/>
    <x v="151"/>
    <n v="18035.28"/>
    <n v="3537.3105000000032"/>
    <n v="0.16397244920585699"/>
    <x v="24"/>
  </r>
  <r>
    <s v="ORD-2023-596758"/>
    <d v="2023-12-07T00:00:00"/>
    <d v="2023-12-05T00:00:00"/>
    <n v="2"/>
    <x v="1"/>
    <x v="2"/>
    <s v="Tokyo"/>
    <s v="Non-Profit"/>
    <s v="Marketplace"/>
    <x v="10"/>
    <s v="Printers"/>
    <x v="152"/>
    <n v="1097.5899999999999"/>
    <n v="845.55"/>
    <n v="0.184"/>
    <n v="6"/>
    <x v="152"/>
    <n v="6585.5399999999991"/>
    <n v="2445.7271999999994"/>
    <n v="0.59078207594314402"/>
    <x v="4"/>
  </r>
  <r>
    <s v="ORD-2024-201376"/>
    <d v="2024-02-18T00:00:00"/>
    <d v="2024-03-04T00:00:00"/>
    <n v="15"/>
    <x v="0"/>
    <x v="0"/>
    <s v="Kisumu"/>
    <s v="Education"/>
    <s v="Direct"/>
    <x v="11"/>
    <s v="Printers"/>
    <x v="153"/>
    <n v="928.68"/>
    <n v="2145.17"/>
    <n v="0.13600000000000001"/>
    <n v="16"/>
    <x v="153"/>
    <n v="14858.88"/>
    <n v="14795.950080000001"/>
    <n v="0.49893896003062177"/>
    <x v="31"/>
  </r>
  <r>
    <s v="ORD-2023-842488"/>
    <d v="2023-10-31T00:00:00"/>
    <d v="2023-11-02T00:00:00"/>
    <n v="2"/>
    <x v="0"/>
    <x v="0"/>
    <s v="Kisumu"/>
    <s v="Education"/>
    <s v="Retail"/>
    <x v="7"/>
    <s v="Accessories"/>
    <x v="154"/>
    <n v="867.89"/>
    <n v="1349.94"/>
    <n v="0.184"/>
    <n v="10"/>
    <x v="154"/>
    <n v="8678.9"/>
    <n v="2336.6104000000032"/>
    <n v="0.21212003031652557"/>
    <x v="32"/>
  </r>
  <r>
    <s v="ORD-2024-136321"/>
    <d v="2024-08-07T00:00:00"/>
    <d v="2024-08-17T00:00:00"/>
    <n v="10"/>
    <x v="1"/>
    <x v="2"/>
    <s v="Osaka"/>
    <s v="Consumer"/>
    <s v="Online"/>
    <x v="11"/>
    <s v="Networking"/>
    <x v="155"/>
    <n v="436.58"/>
    <n v="527.48"/>
    <n v="0.111"/>
    <n v="19"/>
    <x v="155"/>
    <n v="8295.02"/>
    <n v="614.64468000000124"/>
    <n v="6.8986286473802644E-2"/>
    <x v="21"/>
  </r>
  <r>
    <s v="ORD-2024-764468"/>
    <d v="2024-02-01T00:00:00"/>
    <d v="2024-02-21T00:00:00"/>
    <n v="20"/>
    <x v="3"/>
    <x v="7"/>
    <s v="Paris"/>
    <s v="Small Business"/>
    <s v="Marketplace"/>
    <x v="8"/>
    <s v="Networking"/>
    <x v="156"/>
    <n v="656.2"/>
    <n v="1467.17"/>
    <n v="1.7999999999999999E-2"/>
    <n v="5"/>
    <x v="156"/>
    <n v="3281"/>
    <n v="3922.8047000000006"/>
    <n v="0.54454623124360946"/>
    <x v="31"/>
  </r>
  <r>
    <s v="ORD-2024-553449"/>
    <d v="2024-08-27T00:00:00"/>
    <d v="2024-09-18T00:00:00"/>
    <n v="22"/>
    <x v="1"/>
    <x v="4"/>
    <s v="Delhi"/>
    <s v="Consumer"/>
    <s v="Direct"/>
    <x v="5"/>
    <s v="Components"/>
    <x v="157"/>
    <n v="896.75"/>
    <n v="1651.14"/>
    <n v="2.5000000000000001E-2"/>
    <n v="15"/>
    <x v="157"/>
    <n v="13451.25"/>
    <n v="10696.672500000001"/>
    <n v="0.44296450346815552"/>
    <x v="21"/>
  </r>
  <r>
    <s v="ORD-2025-766923"/>
    <d v="2025-02-15T00:00:00"/>
    <d v="2025-02-15T00:00:00"/>
    <n v="0"/>
    <x v="3"/>
    <x v="6"/>
    <s v="Frankfurt"/>
    <s v="Small Business"/>
    <s v="Marketplace"/>
    <x v="4"/>
    <s v="Accessories"/>
    <x v="158"/>
    <n v="815.83"/>
    <n v="1982.18"/>
    <n v="0.127"/>
    <n v="6"/>
    <x v="158"/>
    <n v="4894.9800000000005"/>
    <n v="5487.6788399999996"/>
    <n v="0.52854272923408507"/>
    <x v="26"/>
  </r>
  <r>
    <s v="ORD-2025-418232"/>
    <d v="2025-08-01T00:00:00"/>
    <d v="2025-08-21T00:00:00"/>
    <n v="20"/>
    <x v="1"/>
    <x v="9"/>
    <s v="Shanghai"/>
    <s v="Corporate"/>
    <s v="Direct"/>
    <x v="2"/>
    <s v="Phones"/>
    <x v="159"/>
    <n v="1220.4100000000001"/>
    <n v="2552.2199999999998"/>
    <n v="0.18099999999999999"/>
    <n v="14"/>
    <x v="159"/>
    <n v="17085.740000000002"/>
    <n v="12178.014519999993"/>
    <n v="0.41614668793360271"/>
    <x v="28"/>
  </r>
  <r>
    <s v="ORD-2023-848013"/>
    <d v="2023-02-20T00:00:00"/>
    <d v="2023-03-04T00:00:00"/>
    <n v="12"/>
    <x v="1"/>
    <x v="4"/>
    <s v="Delhi"/>
    <s v="Consumer"/>
    <s v="Distributor"/>
    <x v="12"/>
    <s v="Monitors"/>
    <x v="160"/>
    <n v="299.75"/>
    <n v="523.01"/>
    <n v="0.157"/>
    <n v="50"/>
    <x v="160"/>
    <n v="14987.5"/>
    <n v="7057.3714999999975"/>
    <n v="0.32013665854210122"/>
    <x v="2"/>
  </r>
  <r>
    <s v="ORD-2024-357368"/>
    <d v="2024-10-30T00:00:00"/>
    <d v="2024-11-24T00:00:00"/>
    <n v="25"/>
    <x v="1"/>
    <x v="9"/>
    <s v="Shenzhen"/>
    <s v="Small Business"/>
    <s v="Online"/>
    <x v="6"/>
    <s v="Components"/>
    <x v="161"/>
    <n v="811.05"/>
    <n v="1217.71"/>
    <n v="7.1999999999999995E-2"/>
    <n v="5"/>
    <x v="161"/>
    <n v="4055.25"/>
    <n v="1594.9244000000008"/>
    <n v="0.28227879125288602"/>
    <x v="1"/>
  </r>
  <r>
    <s v="ORD-2024-219735"/>
    <d v="2024-04-03T00:00:00"/>
    <d v="2024-04-07T00:00:00"/>
    <n v="4"/>
    <x v="2"/>
    <x v="5"/>
    <s v="Brasília"/>
    <s v="Non-Profit"/>
    <s v="Direct"/>
    <x v="13"/>
    <s v="Phones"/>
    <x v="162"/>
    <n v="1023.27"/>
    <n v="1343.64"/>
    <n v="0.13300000000000001"/>
    <n v="7"/>
    <x v="162"/>
    <n v="7162.8899999999994"/>
    <n v="991.66116000000147"/>
    <n v="0.12160830688810116"/>
    <x v="20"/>
  </r>
  <r>
    <s v="ORD-2023-240507"/>
    <d v="2023-03-25T00:00:00"/>
    <d v="2023-03-26T00:00:00"/>
    <n v="1"/>
    <x v="1"/>
    <x v="2"/>
    <s v="Osaka"/>
    <s v="Small Business"/>
    <s v="Distributor"/>
    <x v="2"/>
    <s v="Monitors"/>
    <x v="163"/>
    <n v="135.12"/>
    <n v="301.7"/>
    <n v="0.14000000000000001"/>
    <n v="47"/>
    <x v="163"/>
    <n v="6350.64"/>
    <n v="5844.0739999999996"/>
    <n v="0.47923009920527859"/>
    <x v="22"/>
  </r>
  <r>
    <s v="ORD-2024-134084"/>
    <d v="2024-06-04T00:00:00"/>
    <d v="2024-06-16T00:00:00"/>
    <n v="12"/>
    <x v="1"/>
    <x v="9"/>
    <s v="Shanghai"/>
    <s v="Corporate"/>
    <s v="Retail"/>
    <x v="1"/>
    <s v="Printers"/>
    <x v="164"/>
    <n v="918.42"/>
    <n v="1511.71"/>
    <n v="0.02"/>
    <n v="8"/>
    <x v="164"/>
    <n v="7347.36"/>
    <n v="4504.4463999999998"/>
    <n v="0.38006412254590999"/>
    <x v="17"/>
  </r>
  <r>
    <s v="ORD-2023-884625"/>
    <d v="2023-02-19T00:00:00"/>
    <d v="2023-03-12T00:00:00"/>
    <n v="21"/>
    <x v="3"/>
    <x v="6"/>
    <s v="Berlin"/>
    <s v="Small Business"/>
    <s v="Direct"/>
    <x v="4"/>
    <s v="Monitors"/>
    <x v="165"/>
    <n v="1234.81"/>
    <n v="2055.2399999999998"/>
    <n v="5.2999999999999999E-2"/>
    <n v="44"/>
    <x v="165"/>
    <n v="54331.64"/>
    <n v="31306.100319999998"/>
    <n v="0.36556429680441616"/>
    <x v="2"/>
  </r>
  <r>
    <s v="ORD-2023-157993"/>
    <d v="2023-04-18T00:00:00"/>
    <d v="2023-05-18T00:00:00"/>
    <n v="30"/>
    <x v="1"/>
    <x v="9"/>
    <s v="Shenzhen"/>
    <s v="Non-Profit"/>
    <s v="Retail"/>
    <x v="10"/>
    <s v="Laptops"/>
    <x v="166"/>
    <n v="329.03"/>
    <n v="391.15"/>
    <n v="0.19700000000000001"/>
    <n v="46"/>
    <x v="166"/>
    <n v="15135.38"/>
    <n v="687.08130000000165"/>
    <n v="4.7554477815440081E-2"/>
    <x v="12"/>
  </r>
  <r>
    <s v="ORD-2024-329104"/>
    <d v="2024-05-23T00:00:00"/>
    <d v="2024-06-14T00:00:00"/>
    <n v="22"/>
    <x v="3"/>
    <x v="7"/>
    <s v="Marseille"/>
    <s v="Small Business"/>
    <s v="Online"/>
    <x v="13"/>
    <s v="Monitors"/>
    <x v="167"/>
    <n v="1481.74"/>
    <n v="1848.97"/>
    <n v="0.254"/>
    <n v="9"/>
    <x v="167"/>
    <n v="13335.66"/>
    <n v="921.67541999999958"/>
    <n v="7.4244930309072407E-2"/>
    <x v="7"/>
  </r>
  <r>
    <s v="ORD-2023-304451"/>
    <d v="2023-10-07T00:00:00"/>
    <d v="2023-10-23T00:00:00"/>
    <n v="16"/>
    <x v="1"/>
    <x v="4"/>
    <s v="Hyderabad"/>
    <s v="Consumer"/>
    <s v="Retail"/>
    <x v="3"/>
    <s v="Monitors"/>
    <x v="168"/>
    <n v="906.81"/>
    <n v="1395.56"/>
    <n v="0.185"/>
    <n v="6"/>
    <x v="168"/>
    <n v="5440.86"/>
    <n v="1383.4284000000007"/>
    <n v="0.20272126834498974"/>
    <x v="32"/>
  </r>
  <r>
    <s v="ORD-2024-942981"/>
    <d v="2024-10-09T00:00:00"/>
    <d v="2024-11-08T00:00:00"/>
    <n v="30"/>
    <x v="3"/>
    <x v="8"/>
    <s v="Manchester"/>
    <s v="Small Business"/>
    <s v="Distributor"/>
    <x v="1"/>
    <s v="Components"/>
    <x v="169"/>
    <n v="343.85"/>
    <n v="538.04"/>
    <n v="0.13900000000000001"/>
    <n v="5"/>
    <x v="169"/>
    <n v="1719.25"/>
    <n v="597.01219999999967"/>
    <n v="0.25774810813732563"/>
    <x v="1"/>
  </r>
  <r>
    <s v="ORD-2024-605629"/>
    <d v="2024-07-15T00:00:00"/>
    <d v="2024-07-15T00:00:00"/>
    <n v="0"/>
    <x v="1"/>
    <x v="2"/>
    <s v="Tokyo"/>
    <s v="Small Business"/>
    <s v="Marketplace"/>
    <x v="3"/>
    <s v="Accessories"/>
    <x v="170"/>
    <n v="801.77"/>
    <n v="1218.92"/>
    <n v="0.254"/>
    <n v="16"/>
    <x v="170"/>
    <n v="12828.32"/>
    <n v="1720.7091200000013"/>
    <n v="0.11826968698788344"/>
    <x v="14"/>
  </r>
  <r>
    <s v="ORD-2023-450877"/>
    <d v="2023-09-21T00:00:00"/>
    <d v="2023-10-10T00:00:00"/>
    <n v="19"/>
    <x v="1"/>
    <x v="2"/>
    <s v="Tokyo"/>
    <s v="Education"/>
    <s v="Online"/>
    <x v="14"/>
    <s v="Components"/>
    <x v="171"/>
    <n v="845.63"/>
    <n v="2062.12"/>
    <n v="0.13400000000000001"/>
    <n v="5"/>
    <x v="171"/>
    <n v="4228.1499999999996"/>
    <n v="4700.8295999999991"/>
    <n v="0.52646884757133949"/>
    <x v="27"/>
  </r>
  <r>
    <s v="ORD-2023-286994"/>
    <d v="2023-02-24T00:00:00"/>
    <d v="2023-03-09T00:00:00"/>
    <n v="13"/>
    <x v="2"/>
    <x v="10"/>
    <s v="New York"/>
    <s v="Enterprise"/>
    <s v="Online"/>
    <x v="12"/>
    <s v="Components"/>
    <x v="172"/>
    <n v="6.85"/>
    <n v="10.18"/>
    <n v="4.7E-2"/>
    <n v="10"/>
    <x v="172"/>
    <n v="68.5"/>
    <n v="28.5154"/>
    <n v="0.2939265312517394"/>
    <x v="2"/>
  </r>
  <r>
    <s v="ORD-2025-700847"/>
    <d v="2025-05-21T00:00:00"/>
    <d v="2025-05-19T00:00:00"/>
    <n v="2"/>
    <x v="0"/>
    <x v="11"/>
    <s v="Johannesburg"/>
    <s v="Non-Profit"/>
    <s v="Distributor"/>
    <x v="7"/>
    <s v="Laptops"/>
    <x v="173"/>
    <n v="1263.8399999999999"/>
    <n v="2281.7199999999998"/>
    <n v="7.8E-2"/>
    <n v="15"/>
    <x v="173"/>
    <n v="18957.599999999999"/>
    <n v="12598.587599999999"/>
    <n v="0.39924301882398494"/>
    <x v="8"/>
  </r>
  <r>
    <s v="ORD-2024-970848"/>
    <d v="2024-05-23T00:00:00"/>
    <d v="2024-06-03T00:00:00"/>
    <n v="11"/>
    <x v="0"/>
    <x v="11"/>
    <s v="Johannesburg"/>
    <s v="Small Business"/>
    <s v="Distributor"/>
    <x v="9"/>
    <s v="Printers"/>
    <x v="174"/>
    <n v="180.89"/>
    <n v="249.57"/>
    <n v="2.1999999999999999E-2"/>
    <n v="8"/>
    <x v="174"/>
    <n v="1447.12"/>
    <n v="505.51567999999997"/>
    <n v="0.25888888806948362"/>
    <x v="7"/>
  </r>
  <r>
    <s v="ORD-2025-845715"/>
    <d v="2025-04-14T00:00:00"/>
    <d v="2025-05-04T00:00:00"/>
    <n v="20"/>
    <x v="3"/>
    <x v="8"/>
    <s v="Birmingham"/>
    <s v="Enterprise"/>
    <s v="Marketplace"/>
    <x v="11"/>
    <s v="Monitors"/>
    <x v="175"/>
    <n v="1413.87"/>
    <n v="3275"/>
    <n v="0.255"/>
    <n v="38"/>
    <x v="175"/>
    <n v="53727.06"/>
    <n v="38988.19"/>
    <n v="0.42051539525590453"/>
    <x v="19"/>
  </r>
  <r>
    <s v="ORD-2023-664749"/>
    <d v="2023-08-27T00:00:00"/>
    <d v="2023-09-11T00:00:00"/>
    <n v="15"/>
    <x v="3"/>
    <x v="8"/>
    <s v="London"/>
    <s v="Consumer"/>
    <s v="Marketplace"/>
    <x v="13"/>
    <s v="Printers"/>
    <x v="176"/>
    <n v="943.79"/>
    <n v="1913.76"/>
    <n v="9.0999999999999998E-2"/>
    <n v="9"/>
    <x v="176"/>
    <n v="8494.11"/>
    <n v="7162.3605599999992"/>
    <n v="0.45746967891338081"/>
    <x v="25"/>
  </r>
  <r>
    <s v="ORD-2024-960952"/>
    <d v="2024-02-03T00:00:00"/>
    <d v="2024-02-21T00:00:00"/>
    <n v="18"/>
    <x v="3"/>
    <x v="6"/>
    <s v="Frankfurt"/>
    <s v="Corporate"/>
    <s v="Retail"/>
    <x v="10"/>
    <s v="Components"/>
    <x v="177"/>
    <n v="39.229999999999997"/>
    <n v="30.09"/>
    <n v="0.17699999999999999"/>
    <n v="13"/>
    <x v="177"/>
    <n v="509.98999999999995"/>
    <n v="188.05708999999996"/>
    <n v="0.58414993981199359"/>
    <x v="31"/>
  </r>
  <r>
    <s v="ORD-2023-987700"/>
    <d v="2023-04-05T00:00:00"/>
    <d v="2023-04-16T00:00:00"/>
    <n v="11"/>
    <x v="2"/>
    <x v="3"/>
    <s v="Vancouver"/>
    <s v="Non-Profit"/>
    <s v="Online"/>
    <x v="7"/>
    <s v="Monitors"/>
    <x v="178"/>
    <n v="213.1"/>
    <n v="501.31"/>
    <n v="5.6000000000000001E-2"/>
    <n v="15"/>
    <x v="178"/>
    <n v="3196.5"/>
    <n v="3902.0495999999994"/>
    <n v="0.54969674368409005"/>
    <x v="12"/>
  </r>
  <r>
    <s v="ORD-2025-652467"/>
    <d v="2025-08-21T00:00:00"/>
    <d v="2025-09-12T00:00:00"/>
    <n v="22"/>
    <x v="1"/>
    <x v="9"/>
    <s v="Shenzhen"/>
    <s v="Education"/>
    <s v="Retail"/>
    <x v="5"/>
    <s v="Printers"/>
    <x v="179"/>
    <n v="352.66"/>
    <n v="411.18"/>
    <n v="0.17299999999999999"/>
    <n v="13"/>
    <x v="179"/>
    <n v="4584.58"/>
    <n v="163.98382000000038"/>
    <n v="3.7095408248758066E-2"/>
    <x v="28"/>
  </r>
  <r>
    <s v="ORD-2025-667201"/>
    <d v="2025-09-15T00:00:00"/>
    <d v="2025-09-18T00:00:00"/>
    <n v="3"/>
    <x v="2"/>
    <x v="5"/>
    <s v="Rio de Janeiro"/>
    <s v="Non-Profit"/>
    <s v="Direct"/>
    <x v="4"/>
    <s v="Accessories"/>
    <x v="180"/>
    <n v="5.5"/>
    <n v="5.92"/>
    <n v="0.21199999999999999"/>
    <n v="4"/>
    <x v="180"/>
    <n v="22"/>
    <n v="3.3401600000000009"/>
    <n v="0.17900260666758133"/>
    <x v="11"/>
  </r>
  <r>
    <s v="ORD-2024-237478"/>
    <d v="2024-10-03T00:00:00"/>
    <d v="2024-10-11T00:00:00"/>
    <n v="8"/>
    <x v="1"/>
    <x v="9"/>
    <s v="Beijing"/>
    <s v="Enterprise"/>
    <s v="Direct"/>
    <x v="5"/>
    <s v="Phones"/>
    <x v="181"/>
    <n v="1132.6099999999999"/>
    <n v="2206.63"/>
    <n v="6.3E-2"/>
    <n v="20"/>
    <x v="181"/>
    <n v="22652.199999999997"/>
    <n v="18700.046200000012"/>
    <n v="0.45221355351671338"/>
    <x v="1"/>
  </r>
  <r>
    <s v="ORD-2025-898843"/>
    <d v="2025-02-02T00:00:00"/>
    <d v="2025-03-04T00:00:00"/>
    <n v="30"/>
    <x v="1"/>
    <x v="2"/>
    <s v="Osaka"/>
    <s v="Education"/>
    <s v="Distributor"/>
    <x v="4"/>
    <s v="Accessories"/>
    <x v="182"/>
    <n v="766.59"/>
    <n v="1912.8"/>
    <n v="0.19600000000000001"/>
    <n v="5"/>
    <x v="182"/>
    <n v="3832.9500000000003"/>
    <n v="3856.5059999999999"/>
    <n v="0.50153170783472845"/>
    <x v="26"/>
  </r>
  <r>
    <s v="ORD-2023-334213"/>
    <d v="2023-08-19T00:00:00"/>
    <d v="2023-08-23T00:00:00"/>
    <n v="4"/>
    <x v="0"/>
    <x v="1"/>
    <s v="Abuja"/>
    <s v="Small Business"/>
    <s v="Online"/>
    <x v="1"/>
    <s v="Monitors"/>
    <x v="183"/>
    <n v="790.63"/>
    <n v="1382.31"/>
    <n v="0.10100000000000001"/>
    <n v="7"/>
    <x v="183"/>
    <n v="5534.41"/>
    <n v="3164.4668300000012"/>
    <n v="0.36377878338116448"/>
    <x v="25"/>
  </r>
  <r>
    <s v="ORD-2024-640340"/>
    <d v="2024-10-22T00:00:00"/>
    <d v="2024-10-29T00:00:00"/>
    <n v="7"/>
    <x v="0"/>
    <x v="1"/>
    <s v="Port Harcourt"/>
    <s v="Enterprise"/>
    <s v="Distributor"/>
    <x v="12"/>
    <s v="Monitors"/>
    <x v="184"/>
    <n v="1023.06"/>
    <n v="1355.61"/>
    <n v="0.153"/>
    <n v="23"/>
    <x v="184"/>
    <n v="23530.379999999997"/>
    <n v="2878.2584100000022"/>
    <n v="0.10898927711888809"/>
    <x v="1"/>
  </r>
  <r>
    <s v="ORD-2023-399631"/>
    <d v="2023-06-22T00:00:00"/>
    <d v="2023-07-21T00:00:00"/>
    <n v="29"/>
    <x v="3"/>
    <x v="7"/>
    <s v="Lyon"/>
    <s v="Corporate"/>
    <s v="Retail"/>
    <x v="1"/>
    <s v="Accessories"/>
    <x v="185"/>
    <n v="734.34"/>
    <n v="887.9"/>
    <n v="2.5000000000000001E-2"/>
    <n v="12"/>
    <x v="185"/>
    <n v="8812.08"/>
    <n v="1576.3499999999985"/>
    <n v="0.15174092716608753"/>
    <x v="23"/>
  </r>
  <r>
    <s v="ORD-2025-542939"/>
    <d v="2025-01-13T00:00:00"/>
    <d v="2025-02-08T00:00:00"/>
    <n v="26"/>
    <x v="3"/>
    <x v="7"/>
    <s v="Paris"/>
    <s v="Non-Profit"/>
    <s v="Unknown"/>
    <x v="6"/>
    <s v="Monitors"/>
    <x v="186"/>
    <n v="594.74"/>
    <n v="1020.69"/>
    <n v="0.21099999999999999"/>
    <n v="6"/>
    <x v="186"/>
    <n v="3568.44"/>
    <n v="1263.5064600000001"/>
    <n v="0.26149016146176424"/>
    <x v="10"/>
  </r>
  <r>
    <s v="ORD-2023-521818"/>
    <d v="2023-01-29T00:00:00"/>
    <d v="2023-02-28T00:00:00"/>
    <n v="30"/>
    <x v="1"/>
    <x v="4"/>
    <s v="Bengaluru"/>
    <s v="Non-Profit"/>
    <s v="Retail"/>
    <x v="5"/>
    <s v="Accessories"/>
    <x v="187"/>
    <n v="1262.0999999999999"/>
    <n v="1395.53"/>
    <n v="0.23300000000000001"/>
    <n v="25"/>
    <x v="187"/>
    <n v="31552.499999999996"/>
    <n v="4793.2122499999969"/>
    <n v="0.17912331205452198"/>
    <x v="5"/>
  </r>
  <r>
    <s v="ORD-2023-825836"/>
    <d v="2023-07-19T00:00:00"/>
    <d v="2023-07-31T00:00:00"/>
    <n v="12"/>
    <x v="2"/>
    <x v="5"/>
    <s v="Rio de Janeiro"/>
    <s v="Corporate"/>
    <s v="Retail"/>
    <x v="0"/>
    <s v="Monitors"/>
    <x v="188"/>
    <n v="1334.64"/>
    <n v="2273.42"/>
    <n v="0.11799999999999999"/>
    <n v="14"/>
    <x v="188"/>
    <n v="18684.960000000003"/>
    <n v="9387.2301599999992"/>
    <n v="0.33439607335575267"/>
    <x v="24"/>
  </r>
  <r>
    <s v="ORD-2024-503082"/>
    <d v="2024-05-19T00:00:00"/>
    <d v="2024-06-08T00:00:00"/>
    <n v="20"/>
    <x v="2"/>
    <x v="5"/>
    <s v="Brasília"/>
    <s v="Small Business"/>
    <s v="Retail"/>
    <x v="6"/>
    <s v="Monitors"/>
    <x v="189"/>
    <n v="1075.9000000000001"/>
    <n v="1242.1500000000001"/>
    <n v="1.2E-2"/>
    <n v="7"/>
    <x v="189"/>
    <n v="7531.3000000000011"/>
    <n v="1059.4094000000005"/>
    <n v="0.12332036280961853"/>
    <x v="7"/>
  </r>
  <r>
    <s v="ORD-2024-760799"/>
    <d v="2024-02-03T00:00:00"/>
    <d v="2024-02-19T00:00:00"/>
    <n v="16"/>
    <x v="1"/>
    <x v="9"/>
    <s v="Shenzhen"/>
    <s v="Small Business"/>
    <s v="Online"/>
    <x v="10"/>
    <s v="Laptops"/>
    <x v="190"/>
    <n v="993.75"/>
    <n v="1310.29"/>
    <n v="0.215"/>
    <n v="19"/>
    <x v="190"/>
    <n v="18881.25"/>
    <n v="661.72535000000062"/>
    <n v="3.3860010471742245E-2"/>
    <x v="31"/>
  </r>
  <r>
    <s v="ORD-2023-197661"/>
    <d v="2023-08-08T00:00:00"/>
    <d v="2023-08-22T00:00:00"/>
    <n v="14"/>
    <x v="3"/>
    <x v="8"/>
    <s v="Birmingham"/>
    <s v="Non-Profit"/>
    <s v="Direct"/>
    <x v="13"/>
    <s v="Monitors"/>
    <x v="191"/>
    <n v="446.69"/>
    <n v="967.25"/>
    <n v="9.4E-2"/>
    <n v="10"/>
    <x v="191"/>
    <n v="4466.8999999999996"/>
    <n v="4296.3850000000002"/>
    <n v="0.49027105702941309"/>
    <x v="25"/>
  </r>
  <r>
    <s v="ORD-2024-212990"/>
    <d v="2024-08-12T00:00:00"/>
    <d v="2024-09-03T00:00:00"/>
    <n v="22"/>
    <x v="2"/>
    <x v="10"/>
    <s v="Austin"/>
    <s v="Consumer"/>
    <s v="Distributor"/>
    <x v="2"/>
    <s v="Laptops"/>
    <x v="192"/>
    <n v="797.8"/>
    <n v="886.22"/>
    <n v="0.23599999999999999"/>
    <n v="36"/>
    <x v="192"/>
    <n v="28720.799999999999"/>
    <n v="4346.2051199999987"/>
    <n v="0.17830881462428633"/>
    <x v="21"/>
  </r>
  <r>
    <s v="ORD-2023-925146"/>
    <d v="2023-10-15T00:00:00"/>
    <d v="2023-11-13T00:00:00"/>
    <n v="29"/>
    <x v="1"/>
    <x v="9"/>
    <s v="Shenzhen"/>
    <s v="Non-Profit"/>
    <s v="Distributor"/>
    <x v="1"/>
    <s v="Printers"/>
    <x v="193"/>
    <n v="986.44"/>
    <n v="790.61"/>
    <n v="7.1999999999999995E-2"/>
    <n v="6"/>
    <x v="193"/>
    <n v="5918.64"/>
    <n v="1516.5235200000006"/>
    <n v="0.34449872621271499"/>
    <x v="32"/>
  </r>
  <r>
    <s v="ORD-2023-177794"/>
    <d v="2023-05-04T00:00:00"/>
    <d v="2023-05-26T00:00:00"/>
    <n v="22"/>
    <x v="2"/>
    <x v="10"/>
    <s v="San Francisco"/>
    <s v="Enterprise"/>
    <s v="Online"/>
    <x v="1"/>
    <s v="Networking"/>
    <x v="194"/>
    <n v="249.71"/>
    <n v="361.33"/>
    <n v="9.4E-2"/>
    <n v="12"/>
    <x v="194"/>
    <n v="2996.52"/>
    <n v="931.85976000000028"/>
    <n v="0.23721223937881206"/>
    <x v="15"/>
  </r>
  <r>
    <s v="ORD-2024-444710"/>
    <d v="2024-09-22T00:00:00"/>
    <d v="2024-10-01T00:00:00"/>
    <n v="9"/>
    <x v="2"/>
    <x v="5"/>
    <s v="São Paulo"/>
    <s v="Non-Profit"/>
    <s v="Online"/>
    <x v="11"/>
    <s v="Monitors"/>
    <x v="195"/>
    <n v="1378.8"/>
    <n v="1952.04"/>
    <n v="0.159"/>
    <n v="19"/>
    <x v="195"/>
    <n v="26197.200000000001"/>
    <n v="4994.4471599999997"/>
    <n v="0.16012130216723058"/>
    <x v="29"/>
  </r>
  <r>
    <s v="ORD-2024-668926"/>
    <d v="2024-10-23T00:00:00"/>
    <d v="2024-11-14T00:00:00"/>
    <n v="22"/>
    <x v="1"/>
    <x v="2"/>
    <s v="Osaka"/>
    <s v="Non-Profit"/>
    <s v="Direct"/>
    <x v="5"/>
    <s v="Phones"/>
    <x v="196"/>
    <n v="1406.4"/>
    <n v="1564.76"/>
    <n v="0.185"/>
    <n v="17"/>
    <x v="196"/>
    <n v="23908.800000000003"/>
    <n v="2229.0502000000051"/>
    <n v="0.10281715520536151"/>
    <x v="1"/>
  </r>
  <r>
    <s v="ORD-2024-968374"/>
    <d v="2024-02-11T00:00:00"/>
    <d v="2024-03-03T00:00:00"/>
    <n v="21"/>
    <x v="0"/>
    <x v="0"/>
    <s v="Kisumu"/>
    <s v="Enterprise"/>
    <s v="Online"/>
    <x v="5"/>
    <s v="Phones"/>
    <x v="197"/>
    <n v="516.86"/>
    <n v="852.54"/>
    <n v="5.0999999999999997E-2"/>
    <n v="14"/>
    <x v="197"/>
    <n v="7236.04"/>
    <n v="4090.8064399999994"/>
    <n v="0.36116022775355994"/>
    <x v="31"/>
  </r>
  <r>
    <s v="ORD-2023-575584"/>
    <d v="2023-01-30T00:00:00"/>
    <d v="2023-02-21T00:00:00"/>
    <n v="22"/>
    <x v="3"/>
    <x v="6"/>
    <s v="Munich"/>
    <s v="Small Business"/>
    <s v="Marketplace"/>
    <x v="3"/>
    <s v="Networking"/>
    <x v="198"/>
    <n v="1142.8800000000001"/>
    <n v="1465.29"/>
    <n v="0.186"/>
    <n v="7"/>
    <x v="198"/>
    <n v="8000.1600000000008"/>
    <n v="349.06241999999929"/>
    <n v="4.1807775915017401E-2"/>
    <x v="5"/>
  </r>
  <r>
    <s v="ORD-2023-701153"/>
    <d v="2023-04-14T00:00:00"/>
    <d v="2023-05-13T00:00:00"/>
    <n v="29"/>
    <x v="3"/>
    <x v="6"/>
    <s v="Frankfurt"/>
    <s v="Consumer"/>
    <s v="Direct"/>
    <x v="1"/>
    <s v="Printers"/>
    <x v="199"/>
    <n v="1320.33"/>
    <n v="2645.23"/>
    <n v="0.155"/>
    <n v="25"/>
    <x v="199"/>
    <n v="33008.25"/>
    <n v="22872.233749999999"/>
    <n v="0.40930629470436536"/>
    <x v="12"/>
  </r>
  <r>
    <s v="ORD-2023-382017"/>
    <d v="2023-01-13T00:00:00"/>
    <d v="2023-01-19T00:00:00"/>
    <n v="6"/>
    <x v="2"/>
    <x v="10"/>
    <s v="Chicago"/>
    <s v="Corporate"/>
    <s v="Direct"/>
    <x v="10"/>
    <s v="Phones"/>
    <x v="200"/>
    <n v="833.57"/>
    <n v="881.57"/>
    <n v="5.7000000000000002E-2"/>
    <n v="18"/>
    <x v="200"/>
    <n v="15004.26"/>
    <n v="40.490820000000895"/>
    <n v="2.7059238560107821E-3"/>
    <x v="5"/>
  </r>
  <r>
    <s v="ORD-2024-999607"/>
    <d v="2024-01-12T00:00:00"/>
    <d v="2024-01-29T00:00:00"/>
    <n v="17"/>
    <x v="2"/>
    <x v="10"/>
    <s v="Chicago"/>
    <s v="Education"/>
    <s v="Distributor"/>
    <x v="8"/>
    <s v="Printers"/>
    <x v="201"/>
    <n v="493.76"/>
    <n v="625.04"/>
    <n v="0.25800000000000001"/>
    <n v="10"/>
    <x v="201"/>
    <n v="4937.6000000000004"/>
    <n v="299.80320000000029"/>
    <n v="6.464345311549663E-2"/>
    <x v="9"/>
  </r>
  <r>
    <s v="ORD-2023-133848"/>
    <d v="2023-08-15T00:00:00"/>
    <d v="2023-09-07T00:00:00"/>
    <n v="23"/>
    <x v="2"/>
    <x v="10"/>
    <s v="New York"/>
    <s v="Enterprise"/>
    <s v="Online"/>
    <x v="11"/>
    <s v="Phones"/>
    <x v="202"/>
    <n v="590.33000000000004"/>
    <n v="973.04"/>
    <n v="0"/>
    <n v="26"/>
    <x v="202"/>
    <n v="15348.580000000002"/>
    <n v="9950.4599999999991"/>
    <n v="0.39331373838691108"/>
    <x v="25"/>
  </r>
  <r>
    <s v="ORD-2023-586275"/>
    <d v="2023-01-20T00:00:00"/>
    <d v="2023-02-03T00:00:00"/>
    <n v="14"/>
    <x v="0"/>
    <x v="0"/>
    <s v="Kisumu"/>
    <s v="Corporate"/>
    <s v="Retail"/>
    <x v="12"/>
    <s v="Networking"/>
    <x v="203"/>
    <n v="884.36"/>
    <n v="1545.34"/>
    <n v="0.24299999999999999"/>
    <n v="41"/>
    <x v="203"/>
    <n v="36258.76"/>
    <n v="11703.957579999995"/>
    <n v="0.24402198562827965"/>
    <x v="5"/>
  </r>
  <r>
    <s v="ORD-2025-964661"/>
    <d v="2025-02-04T00:00:00"/>
    <d v="2025-02-25T00:00:00"/>
    <n v="21"/>
    <x v="3"/>
    <x v="8"/>
    <s v="Birmingham"/>
    <s v="Corporate"/>
    <s v="Marketplace"/>
    <x v="14"/>
    <s v="Monitors"/>
    <x v="204"/>
    <n v="1016.32"/>
    <n v="2253.42"/>
    <n v="5.5E-2"/>
    <n v="12"/>
    <x v="204"/>
    <n v="12195.84"/>
    <n v="13357.942800000001"/>
    <n v="0.52273837124419797"/>
    <x v="26"/>
  </r>
  <r>
    <s v="ORD-2023-390998"/>
    <d v="2023-04-19T00:00:00"/>
    <d v="2023-04-28T00:00:00"/>
    <n v="9"/>
    <x v="3"/>
    <x v="6"/>
    <s v="Berlin"/>
    <s v="Education"/>
    <s v="Online"/>
    <x v="6"/>
    <s v="Monitors"/>
    <x v="205"/>
    <n v="1178.42"/>
    <n v="2446.56"/>
    <n v="2.9000000000000001E-2"/>
    <n v="11"/>
    <x v="205"/>
    <n v="12962.62"/>
    <n v="13169.08736"/>
    <n v="0.5039505141618883"/>
    <x v="12"/>
  </r>
  <r>
    <s v="ORD-2023-920483"/>
    <d v="2023-07-02T00:00:00"/>
    <d v="2023-08-01T00:00:00"/>
    <n v="30"/>
    <x v="3"/>
    <x v="8"/>
    <s v="Birmingham"/>
    <s v="Small Business"/>
    <s v="Retail"/>
    <x v="5"/>
    <s v="Components"/>
    <x v="206"/>
    <n v="137.46"/>
    <n v="188.3"/>
    <n v="3.7999999999999999E-2"/>
    <n v="37"/>
    <x v="206"/>
    <n v="5086.0200000000004"/>
    <n v="1616.3301999999994"/>
    <n v="0.24115872071262398"/>
    <x v="24"/>
  </r>
  <r>
    <s v="ORD-2025-146850"/>
    <d v="2025-01-21T00:00:00"/>
    <d v="2025-02-14T00:00:00"/>
    <n v="24"/>
    <x v="0"/>
    <x v="0"/>
    <s v="Nairobi"/>
    <s v="Small Business"/>
    <s v="Retail"/>
    <x v="1"/>
    <s v="Accessories"/>
    <x v="207"/>
    <n v="1030.44"/>
    <n v="2562.84"/>
    <n v="0.14799999999999999"/>
    <n v="13"/>
    <x v="207"/>
    <n v="13395.720000000001"/>
    <n v="14990.295839999995"/>
    <n v="0.52808734852027039"/>
    <x v="10"/>
  </r>
  <r>
    <s v="ORD-2024-687100"/>
    <d v="2024-09-10T00:00:00"/>
    <d v="2024-10-07T00:00:00"/>
    <n v="27"/>
    <x v="0"/>
    <x v="0"/>
    <s v="Kisumu"/>
    <s v="Consumer"/>
    <s v="Retail"/>
    <x v="4"/>
    <s v="Printers"/>
    <x v="208"/>
    <n v="1248.3900000000001"/>
    <n v="1805.11"/>
    <n v="0.20300000000000001"/>
    <n v="11"/>
    <x v="208"/>
    <n v="13732.29"/>
    <n v="2093.1093699999965"/>
    <n v="0.13226265707820786"/>
    <x v="29"/>
  </r>
  <r>
    <s v="ORD-2025-629393"/>
    <d v="2025-07-21T00:00:00"/>
    <d v="2025-08-07T00:00:00"/>
    <n v="17"/>
    <x v="0"/>
    <x v="1"/>
    <s v="Lagos"/>
    <s v="Enterprise"/>
    <s v="Direct"/>
    <x v="12"/>
    <s v="Accessories"/>
    <x v="209"/>
    <n v="1204.95"/>
    <n v="2065.73"/>
    <n v="0.13600000000000001"/>
    <n v="10"/>
    <x v="209"/>
    <n v="12049.5"/>
    <n v="5798.4071999999978"/>
    <n v="0.32487882949100039"/>
    <x v="13"/>
  </r>
  <r>
    <s v="ORD-2024-686712"/>
    <d v="2024-10-02T00:00:00"/>
    <d v="2024-10-23T00:00:00"/>
    <n v="21"/>
    <x v="0"/>
    <x v="11"/>
    <s v="Durban"/>
    <s v="Corporate"/>
    <s v="Marketplace"/>
    <x v="8"/>
    <s v="Components"/>
    <x v="210"/>
    <n v="1095.6099999999999"/>
    <n v="2366.5100000000002"/>
    <n v="0.152"/>
    <n v="9"/>
    <x v="210"/>
    <n v="9860.49"/>
    <n v="8200.7143200000046"/>
    <n v="0.4540513564158607"/>
    <x v="1"/>
  </r>
  <r>
    <s v="ORD-2025-586799"/>
    <d v="2025-07-14T00:00:00"/>
    <d v="2025-08-04T00:00:00"/>
    <n v="21"/>
    <x v="2"/>
    <x v="3"/>
    <s v="Montreal"/>
    <s v="Consumer"/>
    <s v="Online"/>
    <x v="10"/>
    <s v="Monitors"/>
    <x v="211"/>
    <n v="90.3"/>
    <n v="131.76"/>
    <n v="0.10199999999999999"/>
    <n v="15"/>
    <x v="211"/>
    <n v="1354.5"/>
    <n v="420.30719999999997"/>
    <n v="0.23681851189244668"/>
    <x v="13"/>
  </r>
  <r>
    <s v="ORD-2024-988736"/>
    <d v="2024-09-09T00:00:00"/>
    <d v="2024-10-01T00:00:00"/>
    <n v="22"/>
    <x v="1"/>
    <x v="9"/>
    <s v="Shenzhen"/>
    <s v="Consumer"/>
    <s v="Direct"/>
    <x v="4"/>
    <s v="Printers"/>
    <x v="212"/>
    <n v="1166.18"/>
    <n v="1335.02"/>
    <n v="0.128"/>
    <n v="6"/>
    <x v="212"/>
    <n v="6997.08"/>
    <n v="12.25536000000011"/>
    <n v="1.7545694604582242E-3"/>
    <x v="29"/>
  </r>
  <r>
    <s v="ORD-2025-564184"/>
    <d v="2025-01-29T00:00:00"/>
    <d v="2025-02-06T00:00:00"/>
    <n v="8"/>
    <x v="0"/>
    <x v="0"/>
    <s v="Kisumu"/>
    <s v="Education"/>
    <s v="Retail"/>
    <x v="5"/>
    <s v="Phones"/>
    <x v="213"/>
    <n v="1445.27"/>
    <n v="2691.45"/>
    <n v="0"/>
    <n v="9"/>
    <x v="213"/>
    <n v="13007.43"/>
    <n v="11215.619999999999"/>
    <n v="0.46301436028906351"/>
    <x v="10"/>
  </r>
  <r>
    <s v="ORD-2023-653343"/>
    <d v="2023-11-10T00:00:00"/>
    <d v="2023-11-28T00:00:00"/>
    <n v="18"/>
    <x v="2"/>
    <x v="5"/>
    <s v="Brasília"/>
    <s v="Education"/>
    <s v="Marketplace"/>
    <x v="4"/>
    <s v="Accessories"/>
    <x v="214"/>
    <n v="388.51"/>
    <n v="776.46"/>
    <n v="0.157"/>
    <n v="12"/>
    <x v="214"/>
    <n v="4662.12"/>
    <n v="3192.54936"/>
    <n v="0.40645241876864946"/>
    <x v="30"/>
  </r>
  <r>
    <s v="ORD-2024-197852"/>
    <d v="2024-02-29T00:00:00"/>
    <d v="2024-03-30T00:00:00"/>
    <n v="30"/>
    <x v="1"/>
    <x v="2"/>
    <s v="Nagoya"/>
    <s v="Small Business"/>
    <s v="Direct"/>
    <x v="2"/>
    <s v="Networking"/>
    <x v="215"/>
    <n v="231.11"/>
    <n v="318.17"/>
    <n v="0.20100000000000001"/>
    <n v="60"/>
    <x v="215"/>
    <n v="13866.6"/>
    <n v="1386.4697999999989"/>
    <n v="9.0897754889969692E-2"/>
    <x v="31"/>
  </r>
  <r>
    <s v="ORD-2023-431328"/>
    <d v="2023-12-20T00:00:00"/>
    <d v="2024-01-14T00:00:00"/>
    <n v="25"/>
    <x v="1"/>
    <x v="4"/>
    <s v="Mumbai"/>
    <s v="Non-Profit"/>
    <s v="Marketplace"/>
    <x v="4"/>
    <s v="Monitors"/>
    <x v="216"/>
    <n v="1085.6099999999999"/>
    <n v="1246.4100000000001"/>
    <n v="0.113"/>
    <n v="7"/>
    <x v="216"/>
    <n v="7599.2699999999995"/>
    <n v="139.68969000000106"/>
    <n v="1.8050189637310417E-2"/>
    <x v="4"/>
  </r>
  <r>
    <s v="ORD-2023-613317"/>
    <d v="2023-01-22T00:00:00"/>
    <d v="2023-01-21T00:00:00"/>
    <n v="1"/>
    <x v="3"/>
    <x v="6"/>
    <s v="Munich"/>
    <s v="Corporate"/>
    <s v="Direct"/>
    <x v="9"/>
    <s v="Monitors"/>
    <x v="217"/>
    <n v="150.86000000000001"/>
    <n v="346.96"/>
    <n v="0.19600000000000001"/>
    <n v="8"/>
    <x v="217"/>
    <n v="1206.8800000000001"/>
    <n v="1024.7667200000001"/>
    <n v="0.45919755614365343"/>
    <x v="5"/>
  </r>
  <r>
    <s v="ORD-2024-720756"/>
    <d v="2024-10-11T00:00:00"/>
    <d v="2024-11-09T00:00:00"/>
    <n v="29"/>
    <x v="1"/>
    <x v="9"/>
    <s v="Shanghai"/>
    <s v="Non-Profit"/>
    <s v="Online"/>
    <x v="9"/>
    <s v="Printers"/>
    <x v="218"/>
    <n v="391.64"/>
    <n v="504.76"/>
    <n v="4.0000000000000001E-3"/>
    <n v="13"/>
    <x v="218"/>
    <n v="5091.32"/>
    <n v="1444.3124800000005"/>
    <n v="0.22099046793402319"/>
    <x v="1"/>
  </r>
  <r>
    <s v="ORD-2024-777623"/>
    <d v="2024-09-19T00:00:00"/>
    <d v="2024-10-14T00:00:00"/>
    <n v="25"/>
    <x v="2"/>
    <x v="5"/>
    <s v="Rio de Janeiro"/>
    <s v="Small Business"/>
    <s v="Retail"/>
    <x v="11"/>
    <s v="Printers"/>
    <x v="219"/>
    <n v="386.96"/>
    <n v="937.46"/>
    <n v="0.26600000000000001"/>
    <n v="41"/>
    <x v="219"/>
    <n v="15865.359999999999"/>
    <n v="12346.561240000001"/>
    <n v="0.43763631462626335"/>
    <x v="29"/>
  </r>
  <r>
    <s v="ORD-2025-762212"/>
    <d v="2025-08-25T00:00:00"/>
    <d v="2025-09-24T00:00:00"/>
    <n v="30"/>
    <x v="0"/>
    <x v="0"/>
    <s v="Nairobi"/>
    <s v="Consumer"/>
    <s v="Direct"/>
    <x v="5"/>
    <s v="Components"/>
    <x v="220"/>
    <n v="589.14"/>
    <n v="1300.58"/>
    <n v="5.5E-2"/>
    <n v="11"/>
    <x v="220"/>
    <n v="6480.54"/>
    <n v="7038.989099999998"/>
    <n v="0.52065342275863724"/>
    <x v="28"/>
  </r>
  <r>
    <s v="ORD-2023-271918"/>
    <d v="2023-09-25T00:00:00"/>
    <d v="2023-10-02T00:00:00"/>
    <n v="7"/>
    <x v="2"/>
    <x v="10"/>
    <s v="New York"/>
    <s v="Education"/>
    <s v="Marketplace"/>
    <x v="2"/>
    <s v="Accessories"/>
    <x v="221"/>
    <n v="145.58000000000001"/>
    <n v="228.15"/>
    <n v="0.20399999999999999"/>
    <n v="5"/>
    <x v="221"/>
    <n v="727.90000000000009"/>
    <n v="180.13699999999994"/>
    <n v="0.19838068272548359"/>
    <x v="27"/>
  </r>
  <r>
    <s v="ORD-2023-713375"/>
    <d v="2023-08-26T00:00:00"/>
    <d v="2023-09-10T00:00:00"/>
    <n v="15"/>
    <x v="0"/>
    <x v="11"/>
    <s v="Cape Town"/>
    <s v="Non-Profit"/>
    <s v="Direct"/>
    <x v="13"/>
    <s v="Components"/>
    <x v="222"/>
    <n v="241.14"/>
    <n v="496.52"/>
    <n v="9.2999999999999999E-2"/>
    <n v="10"/>
    <x v="222"/>
    <n v="2411.3999999999996"/>
    <n v="2092.0364"/>
    <n v="0.46454223268257994"/>
    <x v="25"/>
  </r>
  <r>
    <s v="ORD-2025-678688"/>
    <d v="2025-07-16T00:00:00"/>
    <d v="2025-07-17T00:00:00"/>
    <n v="1"/>
    <x v="0"/>
    <x v="11"/>
    <s v="Durban"/>
    <s v="Small Business"/>
    <s v="Distributor"/>
    <x v="5"/>
    <s v="Networking"/>
    <x v="223"/>
    <n v="1198.9000000000001"/>
    <n v="2941.2"/>
    <n v="5.0999999999999997E-2"/>
    <n v="24"/>
    <x v="223"/>
    <n v="28773.600000000002"/>
    <n v="38215.171199999982"/>
    <n v="0.57047129713583977"/>
    <x v="13"/>
  </r>
  <r>
    <s v="ORD-2023-501220"/>
    <d v="2023-04-19T00:00:00"/>
    <d v="2023-05-07T00:00:00"/>
    <n v="18"/>
    <x v="3"/>
    <x v="8"/>
    <s v="Birmingham"/>
    <s v="Enterprise"/>
    <s v="Retail"/>
    <x v="13"/>
    <s v="Laptops"/>
    <x v="224"/>
    <n v="1089.1500000000001"/>
    <n v="1088.2"/>
    <n v="5.0999999999999997E-2"/>
    <n v="15"/>
    <x v="224"/>
    <n v="16337.250000000002"/>
    <n v="846.72300000000178"/>
    <n v="5.4660696824582002E-2"/>
    <x v="12"/>
  </r>
  <r>
    <s v="ORD-2023-195665"/>
    <d v="2023-12-19T00:00:00"/>
    <d v="2023-12-20T00:00:00"/>
    <n v="1"/>
    <x v="2"/>
    <x v="5"/>
    <s v="Rio de Janeiro"/>
    <s v="Consumer"/>
    <s v="Distributor"/>
    <x v="1"/>
    <s v="Phones"/>
    <x v="225"/>
    <n v="1080.43"/>
    <n v="2529.15"/>
    <n v="0.14699999999999999"/>
    <n v="10"/>
    <x v="225"/>
    <n v="10804.300000000001"/>
    <n v="10769.349499999998"/>
    <n v="0.49918997247081437"/>
    <x v="4"/>
  </r>
  <r>
    <s v="ORD-2023-290237"/>
    <d v="2023-07-30T00:00:00"/>
    <d v="2023-08-07T00:00:00"/>
    <n v="8"/>
    <x v="1"/>
    <x v="2"/>
    <s v="Nagoya"/>
    <s v="Education"/>
    <s v="Marketplace"/>
    <x v="8"/>
    <s v="Networking"/>
    <x v="226"/>
    <n v="1352.44"/>
    <n v="2698.01"/>
    <n v="0.13100000000000001"/>
    <n v="13"/>
    <x v="226"/>
    <n v="17581.72"/>
    <n v="12897.698970000001"/>
    <n v="0.42316091992090887"/>
    <x v="24"/>
  </r>
  <r>
    <s v="ORD-2023-302041"/>
    <d v="2023-10-04T00:00:00"/>
    <d v="2023-10-29T00:00:00"/>
    <n v="25"/>
    <x v="2"/>
    <x v="10"/>
    <s v="San Francisco"/>
    <s v="Small Business"/>
    <s v="Distributor"/>
    <x v="7"/>
    <s v="Accessories"/>
    <x v="227"/>
    <n v="1239.8399999999999"/>
    <n v="1482.75"/>
    <n v="6.7000000000000004E-2"/>
    <n v="4"/>
    <x v="227"/>
    <n v="4959.3599999999997"/>
    <n v="574.26300000000083"/>
    <n v="0.10377703721413634"/>
    <x v="32"/>
  </r>
  <r>
    <s v="ORD-2025-289139"/>
    <d v="2025-08-10T00:00:00"/>
    <d v="2025-08-30T00:00:00"/>
    <n v="20"/>
    <x v="2"/>
    <x v="10"/>
    <s v="San Francisco"/>
    <s v="Corporate"/>
    <s v="Marketplace"/>
    <x v="11"/>
    <s v="Printers"/>
    <x v="228"/>
    <n v="933.29"/>
    <n v="1456.81"/>
    <n v="0.123"/>
    <n v="13"/>
    <x v="228"/>
    <n v="12132.77"/>
    <n v="4476.3208099999974"/>
    <n v="0.26951028573489977"/>
    <x v="28"/>
  </r>
  <r>
    <s v="ORD-2023-949710"/>
    <d v="2023-03-07T00:00:00"/>
    <d v="2023-04-01T00:00:00"/>
    <n v="25"/>
    <x v="0"/>
    <x v="0"/>
    <s v="Nairobi"/>
    <s v="Consumer"/>
    <s v="Marketplace"/>
    <x v="14"/>
    <s v="Printers"/>
    <x v="229"/>
    <n v="1024.0999999999999"/>
    <n v="918.19"/>
    <n v="0.189"/>
    <n v="10"/>
    <x v="229"/>
    <n v="10241"/>
    <n v="2794.4790999999996"/>
    <n v="0.37527311579827827"/>
    <x v="22"/>
  </r>
  <r>
    <s v="ORD-2023-603650"/>
    <d v="2023-05-23T00:00:00"/>
    <d v="2023-06-10T00:00:00"/>
    <n v="18"/>
    <x v="1"/>
    <x v="9"/>
    <s v="Shanghai"/>
    <s v="Corporate"/>
    <s v="Distributor"/>
    <x v="6"/>
    <s v="Components"/>
    <x v="230"/>
    <n v="54.62"/>
    <n v="48.94"/>
    <n v="0.14799999999999999"/>
    <n v="16"/>
    <x v="230"/>
    <n v="873.92"/>
    <n v="206.76991999999996"/>
    <n v="0.3099301434543783"/>
    <x v="15"/>
  </r>
  <r>
    <s v="ORD-2025-757957"/>
    <d v="2025-04-24T00:00:00"/>
    <d v="2025-05-06T00:00:00"/>
    <n v="12"/>
    <x v="2"/>
    <x v="5"/>
    <s v="Brasília"/>
    <s v="Consumer"/>
    <s v="Online"/>
    <x v="0"/>
    <s v="Phones"/>
    <x v="231"/>
    <n v="394.13"/>
    <n v="932.29"/>
    <n v="0.109"/>
    <n v="7"/>
    <x v="231"/>
    <n v="2758.91"/>
    <n v="3055.7827299999999"/>
    <n v="0.5255278089303268"/>
    <x v="19"/>
  </r>
  <r>
    <s v="ORD-2024-423853"/>
    <d v="2024-09-03T00:00:00"/>
    <d v="2024-09-08T00:00:00"/>
    <n v="5"/>
    <x v="0"/>
    <x v="1"/>
    <s v="Lagos"/>
    <s v="Small Business"/>
    <s v="Direct"/>
    <x v="11"/>
    <s v="Printers"/>
    <x v="232"/>
    <n v="197.63"/>
    <n v="325.79000000000002"/>
    <n v="0.11600000000000001"/>
    <n v="10"/>
    <x v="232"/>
    <n v="1976.3"/>
    <n v="903.68360000000007"/>
    <n v="0.31378081458519419"/>
    <x v="29"/>
  </r>
  <r>
    <s v="ORD-2024-569164"/>
    <d v="2024-09-05T00:00:00"/>
    <d v="2024-09-25T00:00:00"/>
    <n v="20"/>
    <x v="1"/>
    <x v="2"/>
    <s v="Osaka"/>
    <s v="Enterprise"/>
    <s v="Distributor"/>
    <x v="14"/>
    <s v="Monitors"/>
    <x v="233"/>
    <n v="195.54"/>
    <n v="405.97"/>
    <n v="0.187"/>
    <n v="16"/>
    <x v="233"/>
    <n v="3128.64"/>
    <n v="2152.21776"/>
    <n v="0.40755079152141377"/>
    <x v="29"/>
  </r>
  <r>
    <s v="ORD-2023-946143"/>
    <d v="2023-03-14T00:00:00"/>
    <d v="2023-03-30T00:00:00"/>
    <n v="16"/>
    <x v="0"/>
    <x v="11"/>
    <s v="Cape Town"/>
    <s v="Consumer"/>
    <s v="Distributor"/>
    <x v="11"/>
    <s v="Components"/>
    <x v="234"/>
    <n v="1309.77"/>
    <n v="1589.07"/>
    <n v="0.10199999999999999"/>
    <n v="10"/>
    <x v="234"/>
    <n v="13097.7"/>
    <n v="1172.1485999999986"/>
    <n v="8.2141628328137886E-2"/>
    <x v="22"/>
  </r>
  <r>
    <s v="ORD-2024-281211"/>
    <d v="2024-01-11T00:00:00"/>
    <d v="2024-02-02T00:00:00"/>
    <n v="22"/>
    <x v="1"/>
    <x v="2"/>
    <s v="Nagoya"/>
    <s v="Small Business"/>
    <s v="Online"/>
    <x v="15"/>
    <s v="Printers"/>
    <x v="235"/>
    <n v="1237.68"/>
    <n v="1432.8"/>
    <n v="6.8000000000000005E-2"/>
    <n v="13"/>
    <x v="235"/>
    <n v="16089.84"/>
    <n v="1269.9647999999979"/>
    <n v="7.315547695559331E-2"/>
    <x v="9"/>
  </r>
  <r>
    <s v="ORD-2024-805860"/>
    <d v="2024-09-13T00:00:00"/>
    <d v="2024-10-02T00:00:00"/>
    <n v="19"/>
    <x v="0"/>
    <x v="0"/>
    <s v="Mombasa"/>
    <s v="Small Business"/>
    <s v="Retail"/>
    <x v="12"/>
    <s v="Phones"/>
    <x v="236"/>
    <n v="1338.99"/>
    <n v="1765.76"/>
    <n v="0.126"/>
    <n v="24"/>
    <x v="236"/>
    <n v="32135.760000000002"/>
    <n v="4902.8217599999989"/>
    <n v="0.1323706666677725"/>
    <x v="29"/>
  </r>
  <r>
    <s v="ORD-2025-132174"/>
    <d v="2025-07-17T00:00:00"/>
    <d v="2025-07-23T00:00:00"/>
    <n v="6"/>
    <x v="2"/>
    <x v="3"/>
    <s v="Vancouver"/>
    <s v="Consumer"/>
    <s v="Online"/>
    <x v="10"/>
    <s v="Components"/>
    <x v="237"/>
    <n v="1364.89"/>
    <n v="2757.54"/>
    <n v="0.17199999999999999"/>
    <n v="61"/>
    <x v="237"/>
    <n v="83258.290000000008"/>
    <n v="56019.54032"/>
    <n v="0.4022143379983118"/>
    <x v="13"/>
  </r>
  <r>
    <s v="ORD-2023-964434"/>
    <d v="2023-11-28T00:00:00"/>
    <d v="2023-12-07T00:00:00"/>
    <n v="9"/>
    <x v="1"/>
    <x v="4"/>
    <s v="Delhi"/>
    <s v="Enterprise"/>
    <s v="Marketplace"/>
    <x v="4"/>
    <s v="Phones"/>
    <x v="238"/>
    <n v="699.33"/>
    <n v="873.75"/>
    <n v="0.23499999999999999"/>
    <n v="10"/>
    <x v="238"/>
    <n v="6993.3"/>
    <n v="309.11250000000018"/>
    <n v="4.6245336475076469E-2"/>
    <x v="30"/>
  </r>
  <r>
    <s v="ORD-2024-897622"/>
    <d v="2024-03-30T00:00:00"/>
    <d v="2024-04-24T00:00:00"/>
    <n v="25"/>
    <x v="2"/>
    <x v="10"/>
    <s v="Austin"/>
    <s v="Non-Profit"/>
    <s v="Online"/>
    <x v="3"/>
    <s v="Laptops"/>
    <x v="239"/>
    <n v="160.82"/>
    <n v="258.52"/>
    <n v="0.13"/>
    <n v="17"/>
    <x v="239"/>
    <n v="2733.94"/>
    <n v="1089.5708"/>
    <n v="0.28496605789631874"/>
    <x v="0"/>
  </r>
  <r>
    <s v="ORD-2023-517216"/>
    <d v="2023-09-19T00:00:00"/>
    <d v="2023-10-08T00:00:00"/>
    <n v="19"/>
    <x v="1"/>
    <x v="4"/>
    <s v="Bengaluru"/>
    <s v="Education"/>
    <s v="Direct"/>
    <x v="1"/>
    <s v="Printers"/>
    <x v="240"/>
    <n v="385.32"/>
    <n v="606.76"/>
    <n v="8.5999999999999993E-2"/>
    <n v="8"/>
    <x v="240"/>
    <n v="3082.56"/>
    <n v="1354.0691200000006"/>
    <n v="0.30520223425842735"/>
    <x v="27"/>
  </r>
  <r>
    <s v="ORD-2025-509940"/>
    <d v="2025-05-16T00:00:00"/>
    <d v="2025-05-27T00:00:00"/>
    <n v="11"/>
    <x v="1"/>
    <x v="9"/>
    <s v="Beijing"/>
    <s v="Enterprise"/>
    <s v="Online"/>
    <x v="9"/>
    <s v="Phones"/>
    <x v="241"/>
    <n v="918.12"/>
    <n v="1337.69"/>
    <n v="9.5000000000000001E-2"/>
    <n v="8"/>
    <x v="241"/>
    <n v="7344.96"/>
    <n v="2339.9156000000012"/>
    <n v="0.24160512707050164"/>
    <x v="8"/>
  </r>
  <r>
    <s v="ORD-2025-646342"/>
    <d v="2025-08-02T00:00:00"/>
    <d v="2025-08-08T00:00:00"/>
    <n v="6"/>
    <x v="1"/>
    <x v="2"/>
    <s v="Osaka"/>
    <s v="Consumer"/>
    <s v="Direct"/>
    <x v="13"/>
    <s v="Laptops"/>
    <x v="242"/>
    <n v="1225.94"/>
    <n v="1793.08"/>
    <n v="0.13600000000000001"/>
    <n v="22"/>
    <x v="242"/>
    <n v="26970.68"/>
    <n v="7112.1846399999922"/>
    <n v="0.20867332353434462"/>
    <x v="28"/>
  </r>
  <r>
    <s v="ORD-2024-866535"/>
    <d v="2024-12-04T00:00:00"/>
    <d v="2024-12-12T00:00:00"/>
    <n v="8"/>
    <x v="3"/>
    <x v="6"/>
    <s v="Frankfurt"/>
    <s v="Enterprise"/>
    <s v="Marketplace"/>
    <x v="5"/>
    <s v="Printers"/>
    <x v="243"/>
    <n v="72.06"/>
    <n v="122.74"/>
    <n v="0.23799999999999999"/>
    <n v="8"/>
    <x v="243"/>
    <n v="576.48"/>
    <n v="171.74303999999995"/>
    <n v="0.22953455162246802"/>
    <x v="6"/>
  </r>
  <r>
    <s v="ORD-2023-747341"/>
    <d v="2023-04-19T00:00:00"/>
    <d v="2023-04-28T00:00:00"/>
    <n v="9"/>
    <x v="2"/>
    <x v="5"/>
    <s v="Rio de Janeiro"/>
    <s v="Corporate"/>
    <s v="Distributor"/>
    <x v="12"/>
    <s v="Phones"/>
    <x v="244"/>
    <n v="1013.54"/>
    <n v="927.93"/>
    <n v="0.17499999999999999"/>
    <n v="16"/>
    <x v="244"/>
    <n v="16216.64"/>
    <n v="3967.9639999999999"/>
    <n v="0.32395044166406234"/>
    <x v="12"/>
  </r>
  <r>
    <s v="ORD-2024-853298"/>
    <d v="2024-03-06T00:00:00"/>
    <d v="2024-03-26T00:00:00"/>
    <n v="20"/>
    <x v="0"/>
    <x v="1"/>
    <s v="Port Harcourt"/>
    <s v="Consumer"/>
    <s v="Marketplace"/>
    <x v="2"/>
    <s v="Phones"/>
    <x v="245"/>
    <n v="65.64"/>
    <n v="151.88"/>
    <n v="0.16700000000000001"/>
    <n v="23"/>
    <x v="245"/>
    <n v="1509.72"/>
    <n v="1400.1489199999999"/>
    <n v="0.48117250587356353"/>
    <x v="0"/>
  </r>
  <r>
    <s v="ORD-2024-544865"/>
    <d v="2024-02-16T00:00:00"/>
    <d v="2024-03-04T00:00:00"/>
    <n v="17"/>
    <x v="2"/>
    <x v="3"/>
    <s v="Montreal"/>
    <s v="Non-Profit"/>
    <s v="Retail"/>
    <x v="14"/>
    <s v="Laptops"/>
    <x v="246"/>
    <n v="1350.98"/>
    <n v="2210.4"/>
    <n v="0.26300000000000001"/>
    <n v="6"/>
    <x v="246"/>
    <n v="8105.88"/>
    <n v="1668.5088000000005"/>
    <n v="0.17070211080615091"/>
    <x v="31"/>
  </r>
  <r>
    <s v="ORD-2025-946490"/>
    <d v="2025-04-22T00:00:00"/>
    <d v="2025-05-02T00:00:00"/>
    <n v="10"/>
    <x v="3"/>
    <x v="6"/>
    <s v="Berlin"/>
    <s v="Corporate"/>
    <s v="Marketplace"/>
    <x v="0"/>
    <s v="Monitors"/>
    <x v="247"/>
    <n v="20.149999999999999"/>
    <n v="39.74"/>
    <n v="0.151"/>
    <n v="18"/>
    <x v="247"/>
    <n v="362.7"/>
    <n v="244.60668000000004"/>
    <n v="0.4027729120318585"/>
    <x v="19"/>
  </r>
  <r>
    <s v="ORD-2024-320972"/>
    <d v="2024-11-08T00:00:00"/>
    <d v="2024-11-08T00:00:00"/>
    <n v="0"/>
    <x v="0"/>
    <x v="0"/>
    <s v="Nakuru"/>
    <s v="Enterprise"/>
    <s v="Marketplace"/>
    <x v="12"/>
    <s v="Networking"/>
    <x v="248"/>
    <n v="803.28"/>
    <n v="1009"/>
    <n v="0.11"/>
    <n v="4"/>
    <x v="248"/>
    <n v="3213.12"/>
    <n v="378.92000000000007"/>
    <n v="0.10548880302001093"/>
    <x v="18"/>
  </r>
  <r>
    <s v="ORD-2025-248586"/>
    <d v="2025-09-12T00:00:00"/>
    <d v="2025-09-30T00:00:00"/>
    <n v="18"/>
    <x v="1"/>
    <x v="2"/>
    <s v="Nagoya"/>
    <s v="Non-Profit"/>
    <s v="Marketplace"/>
    <x v="9"/>
    <s v="Monitors"/>
    <x v="249"/>
    <n v="1212.99"/>
    <n v="1653.64"/>
    <n v="0.107"/>
    <n v="8"/>
    <x v="249"/>
    <n v="9703.92"/>
    <n v="2109.6841600000007"/>
    <n v="0.17858090819931455"/>
    <x v="11"/>
  </r>
  <r>
    <s v="ORD-2024-664046"/>
    <d v="2024-09-02T00:00:00"/>
    <d v="2024-09-08T00:00:00"/>
    <n v="6"/>
    <x v="2"/>
    <x v="10"/>
    <s v="Austin"/>
    <s v="Consumer"/>
    <s v="Direct"/>
    <x v="10"/>
    <s v="Components"/>
    <x v="250"/>
    <n v="462.94"/>
    <n v="1015.7"/>
    <n v="0.14299999999999999"/>
    <n v="14"/>
    <x v="250"/>
    <n v="6481.16"/>
    <n v="5705.2086000000018"/>
    <n v="0.46816314090483041"/>
    <x v="29"/>
  </r>
  <r>
    <s v="ORD-2023-276806"/>
    <d v="2023-03-04T00:00:00"/>
    <d v="2023-03-24T00:00:00"/>
    <n v="20"/>
    <x v="2"/>
    <x v="3"/>
    <s v="Montreal"/>
    <s v="Consumer"/>
    <s v="Distributor"/>
    <x v="2"/>
    <s v="Laptops"/>
    <x v="251"/>
    <n v="481.71"/>
    <n v="912.45"/>
    <n v="0.20300000000000001"/>
    <n v="24"/>
    <x v="251"/>
    <n v="11561.039999999999"/>
    <n v="5892.3036000000011"/>
    <n v="0.33760313983619739"/>
    <x v="22"/>
  </r>
  <r>
    <s v="ORD-2024-220234"/>
    <d v="2024-03-15T00:00:00"/>
    <d v="2024-04-09T00:00:00"/>
    <n v="25"/>
    <x v="2"/>
    <x v="3"/>
    <s v="Vancouver"/>
    <s v="Consumer"/>
    <s v="Online"/>
    <x v="9"/>
    <s v="Monitors"/>
    <x v="252"/>
    <n v="648.64"/>
    <n v="815.19"/>
    <n v="0.22500000000000001"/>
    <n v="28"/>
    <x v="252"/>
    <n v="18161.919999999998"/>
    <n v="472.29699999999866"/>
    <n v="2.6699099240272032E-2"/>
    <x v="0"/>
  </r>
  <r>
    <s v="ORD-2024-301260"/>
    <d v="2024-07-29T00:00:00"/>
    <d v="2024-07-31T00:00:00"/>
    <n v="2"/>
    <x v="2"/>
    <x v="10"/>
    <s v="New York"/>
    <s v="Education"/>
    <s v="Marketplace"/>
    <x v="2"/>
    <s v="Printers"/>
    <x v="253"/>
    <n v="798.97"/>
    <n v="1814.06"/>
    <n v="0.122"/>
    <n v="16"/>
    <x v="253"/>
    <n v="12783.52"/>
    <n v="12700.39488"/>
    <n v="0.49836906691159061"/>
    <x v="14"/>
  </r>
  <r>
    <s v="ORD-2024-350100"/>
    <d v="2024-10-27T00:00:00"/>
    <d v="2024-11-20T00:00:00"/>
    <n v="24"/>
    <x v="1"/>
    <x v="2"/>
    <s v="Nagoya"/>
    <s v="Non-Profit"/>
    <s v="Online"/>
    <x v="10"/>
    <s v="Monitors"/>
    <x v="254"/>
    <n v="317.25"/>
    <n v="758.92"/>
    <n v="5.2999999999999999E-2"/>
    <n v="9"/>
    <x v="254"/>
    <n v="2855.25"/>
    <n v="3613.0251599999992"/>
    <n v="0.5585762928489888"/>
    <x v="1"/>
  </r>
  <r>
    <s v="ORD-2024-855600"/>
    <d v="2024-04-29T00:00:00"/>
    <d v="2024-05-19T00:00:00"/>
    <n v="20"/>
    <x v="3"/>
    <x v="6"/>
    <s v="Frankfurt"/>
    <s v="Enterprise"/>
    <s v="Marketplace"/>
    <x v="0"/>
    <s v="Laptops"/>
    <x v="255"/>
    <n v="668.97"/>
    <n v="1667.44"/>
    <n v="3.4000000000000002E-2"/>
    <n v="15"/>
    <x v="255"/>
    <n v="10034.550000000001"/>
    <n v="14126.6556"/>
    <n v="0.58468339013679016"/>
    <x v="20"/>
  </r>
  <r>
    <s v="ORD-2023-474313"/>
    <d v="2023-10-05T00:00:00"/>
    <d v="2023-10-06T00:00:00"/>
    <n v="1"/>
    <x v="1"/>
    <x v="4"/>
    <s v="Bengaluru"/>
    <s v="Non-Profit"/>
    <s v="Online"/>
    <x v="2"/>
    <s v="Components"/>
    <x v="256"/>
    <n v="1470.26"/>
    <n v="2562.5500000000002"/>
    <n v="0.17299999999999999"/>
    <n v="9"/>
    <x v="256"/>
    <n v="13232.34"/>
    <n v="5840.7196499999991"/>
    <n v="0.30622877279157462"/>
    <x v="32"/>
  </r>
  <r>
    <s v="ORD-2023-256951"/>
    <d v="2023-04-19T00:00:00"/>
    <d v="2023-05-07T00:00:00"/>
    <n v="18"/>
    <x v="3"/>
    <x v="8"/>
    <s v="London"/>
    <s v="Non-Profit"/>
    <s v="Direct"/>
    <x v="10"/>
    <s v="Networking"/>
    <x v="257"/>
    <n v="516.96"/>
    <n v="745.38"/>
    <n v="0.19700000000000001"/>
    <n v="4"/>
    <x v="257"/>
    <n v="2067.84"/>
    <n v="326.32055999999966"/>
    <n v="0.13629852794835101"/>
    <x v="12"/>
  </r>
  <r>
    <s v="ORD-2025-184754"/>
    <d v="2025-06-27T00:00:00"/>
    <d v="2025-07-05T00:00:00"/>
    <n v="8"/>
    <x v="3"/>
    <x v="6"/>
    <s v="Munich"/>
    <s v="Small Business"/>
    <s v="Direct"/>
    <x v="3"/>
    <s v="Monitors"/>
    <x v="258"/>
    <n v="314.93"/>
    <n v="687.95"/>
    <n v="0.20499999999999999"/>
    <n v="8"/>
    <x v="258"/>
    <n v="2519.44"/>
    <n v="1855.922"/>
    <n v="0.424175645352316"/>
    <x v="16"/>
  </r>
  <r>
    <s v="ORD-2023-888140"/>
    <d v="2023-10-11T00:00:00"/>
    <d v="2023-10-13T00:00:00"/>
    <n v="2"/>
    <x v="2"/>
    <x v="5"/>
    <s v="Brasília"/>
    <s v="Consumer"/>
    <s v="Distributor"/>
    <x v="15"/>
    <s v="Accessories"/>
    <x v="259"/>
    <n v="715.94"/>
    <n v="550.07000000000005"/>
    <n v="0.14000000000000001"/>
    <n v="16"/>
    <x v="259"/>
    <n v="11455.04"/>
    <n v="3886.0768000000007"/>
    <n v="0.51342260456491595"/>
    <x v="32"/>
  </r>
  <r>
    <s v="ORD-2023-638181"/>
    <d v="2023-05-20T00:00:00"/>
    <d v="2023-06-07T00:00:00"/>
    <n v="18"/>
    <x v="0"/>
    <x v="1"/>
    <s v="Port Harcourt"/>
    <s v="Enterprise"/>
    <s v="Distributor"/>
    <x v="6"/>
    <s v="Components"/>
    <x v="260"/>
    <n v="1120.06"/>
    <n v="2068.21"/>
    <n v="7.8E-2"/>
    <n v="12"/>
    <x v="260"/>
    <n v="13440.72"/>
    <n v="9441.9554400000034"/>
    <n v="0.41262462795303284"/>
    <x v="15"/>
  </r>
  <r>
    <s v="ORD-2023-521280"/>
    <d v="2023-05-27T00:00:00"/>
    <d v="2023-06-19T00:00:00"/>
    <n v="23"/>
    <x v="3"/>
    <x v="6"/>
    <s v="Berlin"/>
    <s v="Education"/>
    <s v="Retail"/>
    <x v="7"/>
    <s v="Accessories"/>
    <x v="261"/>
    <n v="1471.58"/>
    <n v="2576.65"/>
    <n v="4.0000000000000001E-3"/>
    <n v="7"/>
    <x v="261"/>
    <n v="10301.06"/>
    <n v="7663.3438000000006"/>
    <n v="0.4265849223451546"/>
    <x v="15"/>
  </r>
  <r>
    <s v="ORD-2023-630430"/>
    <d v="2023-08-04T00:00:00"/>
    <d v="2023-08-24T00:00:00"/>
    <n v="20"/>
    <x v="2"/>
    <x v="5"/>
    <s v="Brasília"/>
    <s v="Non-Profit"/>
    <s v="Direct"/>
    <x v="15"/>
    <s v="Networking"/>
    <x v="262"/>
    <n v="582.88"/>
    <n v="1044.1400000000001"/>
    <n v="0.216"/>
    <n v="10"/>
    <x v="262"/>
    <n v="5828.8"/>
    <n v="2357.2576000000008"/>
    <n v="0.28796005539956138"/>
    <x v="25"/>
  </r>
  <r>
    <s v="ORD-2025-908258"/>
    <d v="2025-06-21T00:00:00"/>
    <d v="2025-06-27T00:00:00"/>
    <n v="6"/>
    <x v="0"/>
    <x v="11"/>
    <s v="Durban"/>
    <s v="Enterprise"/>
    <s v="Distributor"/>
    <x v="13"/>
    <s v="Phones"/>
    <x v="263"/>
    <n v="93.91"/>
    <n v="99.04"/>
    <n v="5.7000000000000002E-2"/>
    <n v="6"/>
    <x v="263"/>
    <n v="563.46"/>
    <n v="3.0916800000001103"/>
    <n v="5.5172283829323376E-3"/>
    <x v="16"/>
  </r>
  <r>
    <s v="ORD-2025-440093"/>
    <d v="2025-04-16T00:00:00"/>
    <d v="2025-04-26T00:00:00"/>
    <n v="10"/>
    <x v="0"/>
    <x v="1"/>
    <s v="Port Harcourt"/>
    <s v="Enterprise"/>
    <s v="Marketplace"/>
    <x v="9"/>
    <s v="Laptops"/>
    <x v="264"/>
    <n v="1457.44"/>
    <n v="1996.81"/>
    <n v="0.126"/>
    <n v="23"/>
    <x v="264"/>
    <n v="33521.120000000003"/>
    <n v="6618.7546199999924"/>
    <n v="0.16489225944672353"/>
    <x v="19"/>
  </r>
  <r>
    <s v="ORD-2025-898022"/>
    <d v="2025-09-02T00:00:00"/>
    <d v="2025-09-11T00:00:00"/>
    <n v="9"/>
    <x v="2"/>
    <x v="3"/>
    <s v="Toronto"/>
    <s v="Corporate"/>
    <s v="Distributor"/>
    <x v="12"/>
    <s v="Printers"/>
    <x v="265"/>
    <n v="1207.6300000000001"/>
    <n v="921.68"/>
    <n v="0.19600000000000001"/>
    <n v="17"/>
    <x v="265"/>
    <n v="20529.710000000003"/>
    <n v="7932.1877600000025"/>
    <n v="0.62966253274897988"/>
    <x v="11"/>
  </r>
  <r>
    <s v="ORD-2024-500511"/>
    <d v="2024-10-08T00:00:00"/>
    <d v="2024-10-08T00:00:00"/>
    <n v="0"/>
    <x v="3"/>
    <x v="8"/>
    <s v="London"/>
    <s v="Corporate"/>
    <s v="Online"/>
    <x v="6"/>
    <s v="Monitors"/>
    <x v="266"/>
    <n v="1108.1099999999999"/>
    <n v="2503.79"/>
    <n v="0.184"/>
    <n v="19"/>
    <x v="266"/>
    <n v="21054.089999999997"/>
    <n v="17764.670160000009"/>
    <n v="0.45763105485025896"/>
    <x v="1"/>
  </r>
  <r>
    <s v="ORD-2023-632893"/>
    <d v="2023-05-07T00:00:00"/>
    <d v="2023-05-05T00:00:00"/>
    <n v="2"/>
    <x v="0"/>
    <x v="1"/>
    <s v="Port Harcourt"/>
    <s v="Non-Profit"/>
    <s v="Marketplace"/>
    <x v="8"/>
    <s v="Components"/>
    <x v="267"/>
    <n v="1269.6500000000001"/>
    <n v="2462.77"/>
    <n v="0.107"/>
    <n v="8"/>
    <x v="267"/>
    <n v="10157.200000000001"/>
    <n v="7436.8288800000009"/>
    <n v="0.42269050089225502"/>
    <x v="15"/>
  </r>
  <r>
    <s v="ORD-2023-967239"/>
    <d v="2023-12-24T00:00:00"/>
    <d v="2024-01-01T00:00:00"/>
    <n v="8"/>
    <x v="2"/>
    <x v="5"/>
    <s v="São Paulo"/>
    <s v="Education"/>
    <s v="Direct"/>
    <x v="0"/>
    <s v="Phones"/>
    <x v="268"/>
    <n v="526.49"/>
    <n v="496.2"/>
    <n v="0"/>
    <n v="14"/>
    <x v="268"/>
    <n v="7370.8600000000006"/>
    <n v="424.0600000000004"/>
    <n v="6.1043933897621985E-2"/>
    <x v="4"/>
  </r>
  <r>
    <s v="ORD-2024-885858"/>
    <d v="2024-01-10T00:00:00"/>
    <d v="2024-01-23T00:00:00"/>
    <n v="13"/>
    <x v="3"/>
    <x v="7"/>
    <s v="Marseille"/>
    <s v="Corporate"/>
    <s v="Direct"/>
    <x v="8"/>
    <s v="Printers"/>
    <x v="269"/>
    <n v="720"/>
    <n v="907.59"/>
    <n v="0.154"/>
    <n v="10"/>
    <x v="269"/>
    <n v="7200"/>
    <n v="478.21139999999923"/>
    <n v="6.2281614179052078E-2"/>
    <x v="9"/>
  </r>
  <r>
    <s v="ORD-2023-253245"/>
    <d v="2023-08-03T00:00:00"/>
    <d v="2023-08-14T00:00:00"/>
    <n v="11"/>
    <x v="2"/>
    <x v="5"/>
    <s v="Brasília"/>
    <s v="Corporate"/>
    <s v="Direct"/>
    <x v="1"/>
    <s v="Accessories"/>
    <x v="270"/>
    <n v="232.73"/>
    <n v="334.19"/>
    <n v="0.13400000000000001"/>
    <n v="25"/>
    <x v="270"/>
    <n v="5818.25"/>
    <n v="1416.9634999999998"/>
    <n v="0.1958426658729559"/>
    <x v="25"/>
  </r>
  <r>
    <s v="ORD-2025-484073"/>
    <d v="2025-02-19T00:00:00"/>
    <d v="2025-03-09T00:00:00"/>
    <n v="18"/>
    <x v="1"/>
    <x v="4"/>
    <s v="Delhi"/>
    <s v="Small Business"/>
    <s v="Direct"/>
    <x v="7"/>
    <s v="Monitors"/>
    <x v="271"/>
    <n v="325.87"/>
    <n v="538.79"/>
    <n v="0.17399999999999999"/>
    <n v="16"/>
    <x v="271"/>
    <n v="5213.92"/>
    <n v="1906.7286400000003"/>
    <n v="0.26777457172778013"/>
    <x v="26"/>
  </r>
  <r>
    <s v="ORD-2024-745822"/>
    <d v="2024-03-31T00:00:00"/>
    <d v="2024-04-17T00:00:00"/>
    <n v="17"/>
    <x v="3"/>
    <x v="6"/>
    <s v="Frankfurt"/>
    <s v="Education"/>
    <s v="Direct"/>
    <x v="10"/>
    <s v="Monitors"/>
    <x v="272"/>
    <n v="1025.51"/>
    <n v="1436.54"/>
    <n v="0.13900000000000001"/>
    <n v="28"/>
    <x v="272"/>
    <n v="28714.28"/>
    <n v="5917.8263200000001"/>
    <n v="0.17087688127656453"/>
    <x v="0"/>
  </r>
  <r>
    <s v="ORD-2023-369160"/>
    <d v="2023-07-24T00:00:00"/>
    <d v="2023-08-13T00:00:00"/>
    <n v="20"/>
    <x v="2"/>
    <x v="3"/>
    <s v="Montreal"/>
    <s v="Education"/>
    <s v="Direct"/>
    <x v="0"/>
    <s v="Monitors"/>
    <x v="273"/>
    <n v="1082.3800000000001"/>
    <n v="1766.55"/>
    <n v="0.16400000000000001"/>
    <n v="20"/>
    <x v="273"/>
    <n v="21647.600000000002"/>
    <n v="7889.1159999999982"/>
    <n v="0.26709523157550752"/>
    <x v="24"/>
  </r>
  <r>
    <s v="ORD-2024-834983"/>
    <d v="2024-03-16T00:00:00"/>
    <d v="2024-04-13T00:00:00"/>
    <n v="28"/>
    <x v="3"/>
    <x v="7"/>
    <s v="Paris"/>
    <s v="Small Business"/>
    <s v="Online"/>
    <x v="11"/>
    <s v="Printers"/>
    <x v="274"/>
    <n v="287.61"/>
    <n v="628.54"/>
    <n v="0.13500000000000001"/>
    <n v="21"/>
    <x v="274"/>
    <n v="6039.81"/>
    <n v="5377.619099999999"/>
    <n v="0.47100087531964613"/>
    <x v="0"/>
  </r>
  <r>
    <s v="ORD-2024-499009"/>
    <d v="2024-01-25T00:00:00"/>
    <d v="2024-01-27T00:00:00"/>
    <n v="2"/>
    <x v="2"/>
    <x v="5"/>
    <s v="São Paulo"/>
    <s v="Non-Profit"/>
    <s v="Marketplace"/>
    <x v="13"/>
    <s v="Laptops"/>
    <x v="275"/>
    <n v="1410.97"/>
    <n v="1650.75"/>
    <n v="0.13500000000000001"/>
    <n v="6"/>
    <x v="275"/>
    <n v="8465.82"/>
    <n v="101.57250000000022"/>
    <n v="1.1855707556295596E-2"/>
    <x v="9"/>
  </r>
  <r>
    <s v="ORD-2024-948800"/>
    <d v="2024-03-27T00:00:00"/>
    <d v="2024-04-11T00:00:00"/>
    <n v="15"/>
    <x v="2"/>
    <x v="10"/>
    <s v="San Francisco"/>
    <s v="Small Business"/>
    <s v="Direct"/>
    <x v="7"/>
    <s v="Networking"/>
    <x v="276"/>
    <n v="1338.35"/>
    <n v="2247.14"/>
    <n v="0.115"/>
    <n v="40"/>
    <x v="276"/>
    <n v="53534"/>
    <n v="26014.755999999994"/>
    <n v="0.32702907384246205"/>
    <x v="0"/>
  </r>
  <r>
    <s v="ORD-2025-678328"/>
    <d v="2025-06-24T00:00:00"/>
    <d v="2025-07-14T00:00:00"/>
    <n v="20"/>
    <x v="3"/>
    <x v="6"/>
    <s v="Berlin"/>
    <s v="Corporate"/>
    <s v="Direct"/>
    <x v="7"/>
    <s v="Accessories"/>
    <x v="277"/>
    <n v="385.08"/>
    <n v="893.19"/>
    <n v="0.151"/>
    <n v="8"/>
    <x v="277"/>
    <n v="3080.64"/>
    <n v="2985.9064800000001"/>
    <n v="0.49219213762621666"/>
    <x v="16"/>
  </r>
  <r>
    <s v="ORD-2024-580808"/>
    <d v="2024-06-16T00:00:00"/>
    <d v="2024-07-03T00:00:00"/>
    <n v="17"/>
    <x v="0"/>
    <x v="11"/>
    <s v="Johannesburg"/>
    <s v="Enterprise"/>
    <s v="Marketplace"/>
    <x v="9"/>
    <s v="Phones"/>
    <x v="278"/>
    <n v="1173.83"/>
    <n v="2328.9"/>
    <n v="0.12"/>
    <n v="17"/>
    <x v="278"/>
    <n v="19955.11"/>
    <n v="14885.234000000004"/>
    <n v="0.42724130393201637"/>
    <x v="17"/>
  </r>
  <r>
    <s v="ORD-2023-211715"/>
    <d v="2023-10-30T00:00:00"/>
    <d v="2023-11-14T00:00:00"/>
    <n v="15"/>
    <x v="1"/>
    <x v="4"/>
    <s v="Bengaluru"/>
    <s v="Corporate"/>
    <s v="Online"/>
    <x v="9"/>
    <s v="Laptops"/>
    <x v="279"/>
    <n v="953.46"/>
    <n v="2066.75"/>
    <n v="0.13800000000000001"/>
    <n v="5"/>
    <x v="279"/>
    <n v="4767.3"/>
    <n v="4140.392499999999"/>
    <n v="0.46481089238318446"/>
    <x v="32"/>
  </r>
  <r>
    <s v="ORD-2023-715175"/>
    <d v="2023-06-15T00:00:00"/>
    <d v="2023-06-23T00:00:00"/>
    <n v="8"/>
    <x v="2"/>
    <x v="10"/>
    <s v="San Francisco"/>
    <s v="Consumer"/>
    <s v="Distributor"/>
    <x v="7"/>
    <s v="Monitors"/>
    <x v="280"/>
    <n v="1097.0899999999999"/>
    <n v="2182.31"/>
    <n v="0.112"/>
    <n v="9"/>
    <x v="280"/>
    <n v="9873.81"/>
    <n v="7567.2115200000026"/>
    <n v="0.43387432962699546"/>
    <x v="23"/>
  </r>
  <r>
    <s v="ORD-2025-685236"/>
    <d v="2025-03-14T00:00:00"/>
    <d v="2025-03-29T00:00:00"/>
    <n v="15"/>
    <x v="1"/>
    <x v="2"/>
    <s v="Tokyo"/>
    <s v="Non-Profit"/>
    <s v="Direct"/>
    <x v="10"/>
    <s v="Networking"/>
    <x v="281"/>
    <n v="1106.96"/>
    <n v="2726.62"/>
    <n v="0.317"/>
    <n v="7"/>
    <x v="281"/>
    <n v="7748.72"/>
    <n v="5287.2502200000008"/>
    <n v="0.40558931408789306"/>
    <x v="3"/>
  </r>
  <r>
    <s v="ORD-2023-274037"/>
    <d v="2023-08-15T00:00:00"/>
    <d v="2023-08-25T00:00:00"/>
    <n v="10"/>
    <x v="0"/>
    <x v="0"/>
    <s v="Nairobi"/>
    <s v="Small Business"/>
    <s v="Retail"/>
    <x v="13"/>
    <s v="Phones"/>
    <x v="282"/>
    <n v="91.85"/>
    <n v="111.29"/>
    <n v="0"/>
    <n v="6"/>
    <x v="282"/>
    <n v="551.09999999999991"/>
    <n v="116.6400000000001"/>
    <n v="0.17467876718483258"/>
    <x v="25"/>
  </r>
  <r>
    <s v="ORD-2025-983096"/>
    <d v="2025-05-17T00:00:00"/>
    <d v="2025-05-28T00:00:00"/>
    <n v="11"/>
    <x v="1"/>
    <x v="4"/>
    <s v="Bengaluru"/>
    <s v="Corporate"/>
    <s v="Distributor"/>
    <x v="5"/>
    <s v="Laptops"/>
    <x v="283"/>
    <n v="623.4"/>
    <n v="1100.0899999999999"/>
    <n v="0.114"/>
    <n v="12"/>
    <x v="283"/>
    <n v="7480.7999999999993"/>
    <n v="4215.3568799999994"/>
    <n v="0.36040529579490388"/>
    <x v="8"/>
  </r>
  <r>
    <s v="ORD-2024-366010"/>
    <d v="2024-01-13T00:00:00"/>
    <d v="2024-02-05T00:00:00"/>
    <n v="23"/>
    <x v="3"/>
    <x v="6"/>
    <s v="Frankfurt"/>
    <s v="Education"/>
    <s v="Direct"/>
    <x v="5"/>
    <s v="Laptops"/>
    <x v="284"/>
    <n v="1017.93"/>
    <n v="1529.14"/>
    <n v="0.155"/>
    <n v="12"/>
    <x v="284"/>
    <n v="12215.16"/>
    <n v="3290.3196000000007"/>
    <n v="0.21220366508366503"/>
    <x v="9"/>
  </r>
  <r>
    <s v="ORD-2023-610470"/>
    <d v="2023-06-24T00:00:00"/>
    <d v="2023-07-21T00:00:00"/>
    <n v="27"/>
    <x v="1"/>
    <x v="2"/>
    <s v="Nagoya"/>
    <s v="Consumer"/>
    <s v="Marketplace"/>
    <x v="1"/>
    <s v="Phones"/>
    <x v="285"/>
    <n v="554.76"/>
    <n v="728.69"/>
    <n v="0.22"/>
    <n v="7"/>
    <x v="285"/>
    <n v="3883.3199999999997"/>
    <n v="95.32740000000058"/>
    <n v="2.395975074343119E-2"/>
    <x v="23"/>
  </r>
  <r>
    <s v="ORD-2025-541048"/>
    <d v="2025-04-04T00:00:00"/>
    <d v="2025-04-13T00:00:00"/>
    <n v="9"/>
    <x v="3"/>
    <x v="6"/>
    <s v="Munich"/>
    <s v="Consumer"/>
    <s v="Marketplace"/>
    <x v="9"/>
    <s v="Phones"/>
    <x v="286"/>
    <n v="7.02"/>
    <n v="6.28"/>
    <n v="0.13400000000000001"/>
    <n v="14"/>
    <x v="286"/>
    <n v="98.28"/>
    <n v="22.141279999999995"/>
    <n v="0.29080184169106066"/>
    <x v="19"/>
  </r>
  <r>
    <s v="ORD-2024-862371"/>
    <d v="2024-09-07T00:00:00"/>
    <d v="2024-09-07T00:00:00"/>
    <n v="0"/>
    <x v="1"/>
    <x v="4"/>
    <s v="Mumbai"/>
    <s v="Education"/>
    <s v="Distributor"/>
    <x v="5"/>
    <s v="Networking"/>
    <x v="287"/>
    <n v="1066.6500000000001"/>
    <n v="2569.77"/>
    <n v="0.13400000000000001"/>
    <n v="9"/>
    <x v="287"/>
    <n v="9599.85"/>
    <n v="10428.937380000001"/>
    <n v="0.52069739331368348"/>
    <x v="29"/>
  </r>
  <r>
    <s v="ORD-2024-277241"/>
    <d v="2024-01-28T00:00:00"/>
    <d v="2024-01-30T00:00:00"/>
    <n v="2"/>
    <x v="0"/>
    <x v="11"/>
    <s v="Cape Town"/>
    <s v="Consumer"/>
    <s v="Direct"/>
    <x v="9"/>
    <s v="Accessories"/>
    <x v="288"/>
    <n v="798.45"/>
    <n v="1592.02"/>
    <n v="6.6000000000000003E-2"/>
    <n v="18"/>
    <x v="288"/>
    <n v="14372.1"/>
    <n v="12392.940239999998"/>
    <n v="0.46302714768494585"/>
    <x v="9"/>
  </r>
  <r>
    <s v="ORD-2023-369150"/>
    <d v="2023-07-18T00:00:00"/>
    <d v="2023-08-10T00:00:00"/>
    <n v="23"/>
    <x v="0"/>
    <x v="11"/>
    <s v="Johannesburg"/>
    <s v="Small Business"/>
    <s v="Retail"/>
    <x v="4"/>
    <s v="Components"/>
    <x v="289"/>
    <n v="1271.56"/>
    <n v="995.47"/>
    <n v="0.192"/>
    <n v="13"/>
    <x v="289"/>
    <n v="16530.28"/>
    <n v="6073.8631199999982"/>
    <n v="0.58087423155607754"/>
    <x v="24"/>
  </r>
  <r>
    <s v="ORD-2025-922513"/>
    <d v="2025-08-28T00:00:00"/>
    <d v="2025-08-26T00:00:00"/>
    <n v="2"/>
    <x v="0"/>
    <x v="1"/>
    <s v="Port Harcourt"/>
    <s v="Small Business"/>
    <s v="Retail"/>
    <x v="8"/>
    <s v="Accessories"/>
    <x v="290"/>
    <n v="521.05999999999995"/>
    <n v="1240.31"/>
    <n v="0.14599999999999999"/>
    <n v="18"/>
    <x v="290"/>
    <n v="9379.0799999999981"/>
    <n v="9686.9653199999993"/>
    <n v="0.50807417885650974"/>
    <x v="28"/>
  </r>
  <r>
    <s v="ORD-2025-752845"/>
    <d v="2025-03-30T00:00:00"/>
    <d v="2025-04-07T00:00:00"/>
    <n v="8"/>
    <x v="2"/>
    <x v="5"/>
    <s v="São Paulo"/>
    <s v="Non-Profit"/>
    <s v="Direct"/>
    <x v="4"/>
    <s v="Printers"/>
    <x v="291"/>
    <n v="71.62"/>
    <n v="118.37"/>
    <n v="0.156"/>
    <n v="11"/>
    <x v="291"/>
    <n v="787.82"/>
    <n v="311.12708000000009"/>
    <n v="0.28311379652603474"/>
    <x v="3"/>
  </r>
  <r>
    <s v="ORD-2023-667815"/>
    <d v="2023-10-21T00:00:00"/>
    <d v="2023-11-09T00:00:00"/>
    <n v="19"/>
    <x v="3"/>
    <x v="8"/>
    <s v="London"/>
    <s v="Non-Profit"/>
    <s v="Direct"/>
    <x v="8"/>
    <s v="Accessories"/>
    <x v="292"/>
    <n v="1142.48"/>
    <n v="2105.5300000000002"/>
    <n v="0.20699999999999999"/>
    <n v="14"/>
    <x v="292"/>
    <n v="15994.720000000001"/>
    <n v="7380.8740600000019"/>
    <n v="0.31575129346680658"/>
    <x v="32"/>
  </r>
  <r>
    <s v="ORD-2023-375011"/>
    <d v="2023-08-23T00:00:00"/>
    <d v="2023-09-22T00:00:00"/>
    <n v="30"/>
    <x v="3"/>
    <x v="8"/>
    <s v="London"/>
    <s v="Consumer"/>
    <s v="Distributor"/>
    <x v="7"/>
    <s v="Accessories"/>
    <x v="293"/>
    <n v="209.81"/>
    <n v="523"/>
    <n v="5.8999999999999997E-2"/>
    <n v="15"/>
    <x v="293"/>
    <n v="3147.15"/>
    <n v="4234.9950000000008"/>
    <n v="0.57368082041195356"/>
    <x v="25"/>
  </r>
  <r>
    <s v="ORD-2025-487025"/>
    <d v="2025-04-11T00:00:00"/>
    <d v="2025-05-04T00:00:00"/>
    <n v="23"/>
    <x v="1"/>
    <x v="2"/>
    <s v="Osaka"/>
    <s v="Small Business"/>
    <s v="Online"/>
    <x v="12"/>
    <s v="Components"/>
    <x v="294"/>
    <n v="786.2"/>
    <n v="1075.3"/>
    <n v="0.08"/>
    <n v="9"/>
    <x v="294"/>
    <n v="7075.8"/>
    <n v="1827.6839999999984"/>
    <n v="0.20527739478163815"/>
    <x v="19"/>
  </r>
  <r>
    <s v="ORD-2025-398335"/>
    <d v="2025-06-01T00:00:00"/>
    <d v="2025-06-27T00:00:00"/>
    <n v="26"/>
    <x v="3"/>
    <x v="6"/>
    <s v="Munich"/>
    <s v="Consumer"/>
    <s v="Distributor"/>
    <x v="6"/>
    <s v="Laptops"/>
    <x v="295"/>
    <n v="1362.31"/>
    <n v="3294.57"/>
    <n v="0.113"/>
    <n v="7"/>
    <x v="295"/>
    <n v="9536.17"/>
    <n v="10919.815130000001"/>
    <n v="0.5338200561157721"/>
    <x v="16"/>
  </r>
  <r>
    <s v="ORD-2024-792137"/>
    <d v="2024-03-02T00:00:00"/>
    <d v="2024-03-16T00:00:00"/>
    <n v="14"/>
    <x v="2"/>
    <x v="3"/>
    <s v="Vancouver"/>
    <s v="Non-Profit"/>
    <s v="Direct"/>
    <x v="7"/>
    <s v="Printers"/>
    <x v="296"/>
    <n v="248.24"/>
    <n v="464.05"/>
    <n v="0.16900000000000001"/>
    <n v="11"/>
    <x v="296"/>
    <n v="2730.6400000000003"/>
    <n v="1511.2410499999996"/>
    <n v="0.3562667203975462"/>
    <x v="0"/>
  </r>
  <r>
    <s v="ORD-2023-602648"/>
    <d v="2023-06-20T00:00:00"/>
    <d v="2023-07-08T00:00:00"/>
    <n v="18"/>
    <x v="2"/>
    <x v="10"/>
    <s v="Austin"/>
    <s v="Non-Profit"/>
    <s v="Direct"/>
    <x v="9"/>
    <s v="Monitors"/>
    <x v="297"/>
    <n v="337"/>
    <n v="511.03"/>
    <n v="0.108"/>
    <n v="7"/>
    <x v="297"/>
    <n v="2359"/>
    <n v="831.8713200000002"/>
    <n v="0.26070349963219458"/>
    <x v="23"/>
  </r>
  <r>
    <s v="ORD-2024-207096"/>
    <d v="2024-03-26T00:00:00"/>
    <d v="2024-04-05T00:00:00"/>
    <n v="10"/>
    <x v="2"/>
    <x v="10"/>
    <s v="Austin"/>
    <s v="Consumer"/>
    <s v="Direct"/>
    <x v="1"/>
    <s v="Monitors"/>
    <x v="298"/>
    <n v="5.66"/>
    <n v="4.22"/>
    <n v="0.11899999999999999"/>
    <n v="18"/>
    <x v="298"/>
    <n v="101.88"/>
    <n v="34.959239999999994"/>
    <n v="0.52239753403876454"/>
    <x v="0"/>
  </r>
  <r>
    <s v="ORD-2025-939953"/>
    <d v="2025-01-22T00:00:00"/>
    <d v="2025-01-22T00:00:00"/>
    <n v="0"/>
    <x v="3"/>
    <x v="7"/>
    <s v="Lyon"/>
    <s v="Small Business"/>
    <s v="Online"/>
    <x v="5"/>
    <s v="Accessories"/>
    <x v="299"/>
    <n v="591.72"/>
    <n v="577.24"/>
    <n v="0"/>
    <n v="22"/>
    <x v="299"/>
    <n v="13017.84"/>
    <n v="318.55999999999949"/>
    <n v="2.5084886702238195E-2"/>
    <x v="10"/>
  </r>
  <r>
    <s v="ORD-2025-191328"/>
    <d v="2025-05-10T00:00:00"/>
    <d v="2025-05-27T00:00:00"/>
    <n v="17"/>
    <x v="2"/>
    <x v="3"/>
    <s v="Vancouver"/>
    <s v="Education"/>
    <s v="Direct"/>
    <x v="0"/>
    <s v="Components"/>
    <x v="300"/>
    <n v="862.89"/>
    <n v="1426.03"/>
    <n v="5.6000000000000001E-2"/>
    <n v="19"/>
    <x v="300"/>
    <n v="16394.91"/>
    <n v="9182.3640799999994"/>
    <n v="0.35900479665188778"/>
    <x v="8"/>
  </r>
  <r>
    <s v="ORD-2023-166668"/>
    <d v="2023-10-05T00:00:00"/>
    <d v="2023-10-31T00:00:00"/>
    <n v="26"/>
    <x v="1"/>
    <x v="9"/>
    <s v="Shanghai"/>
    <s v="Consumer"/>
    <s v="Unknown"/>
    <x v="1"/>
    <s v="Printers"/>
    <x v="301"/>
    <n v="649.91"/>
    <n v="1360.12"/>
    <n v="0.19400000000000001"/>
    <n v="9"/>
    <x v="301"/>
    <n v="5849.19"/>
    <n v="4017.1204799999987"/>
    <n v="0.40715528749506769"/>
    <x v="32"/>
  </r>
  <r>
    <s v="ORD-2023-594700"/>
    <d v="2023-07-18T00:00:00"/>
    <d v="2023-07-22T00:00:00"/>
    <n v="4"/>
    <x v="2"/>
    <x v="5"/>
    <s v="São Paulo"/>
    <s v="Consumer"/>
    <s v="Direct"/>
    <x v="9"/>
    <s v="Networking"/>
    <x v="302"/>
    <n v="1269.55"/>
    <n v="2071.1"/>
    <n v="0.129"/>
    <n v="22"/>
    <x v="302"/>
    <n v="27930.1"/>
    <n v="11756.318200000002"/>
    <n v="0.29623026549672354"/>
    <x v="24"/>
  </r>
  <r>
    <s v="ORD-2025-278048"/>
    <d v="2025-06-22T00:00:00"/>
    <d v="2025-07-08T00:00:00"/>
    <n v="16"/>
    <x v="3"/>
    <x v="8"/>
    <s v="London"/>
    <s v="Education"/>
    <s v="Direct"/>
    <x v="8"/>
    <s v="Phones"/>
    <x v="303"/>
    <n v="892.73"/>
    <n v="979.84"/>
    <n v="0.17399999999999999"/>
    <n v="10"/>
    <x v="303"/>
    <n v="8927.2999999999993"/>
    <n v="833.82159999999931"/>
    <n v="0.10302388649112838"/>
    <x v="16"/>
  </r>
  <r>
    <s v="ORD-2024-878493"/>
    <d v="2024-06-19T00:00:00"/>
    <d v="2024-06-20T00:00:00"/>
    <n v="1"/>
    <x v="0"/>
    <x v="0"/>
    <s v="Kisumu"/>
    <s v="Small Business"/>
    <s v="Direct"/>
    <x v="1"/>
    <s v="Laptops"/>
    <x v="304"/>
    <n v="231.63"/>
    <n v="537.39"/>
    <n v="0.08"/>
    <n v="12"/>
    <x v="304"/>
    <n v="2779.56"/>
    <n v="3153.2256000000002"/>
    <n v="0.53149158129024587"/>
    <x v="17"/>
  </r>
  <r>
    <s v="ORD-2025-138578"/>
    <d v="2025-04-09T00:00:00"/>
    <d v="2025-04-12T00:00:00"/>
    <n v="3"/>
    <x v="3"/>
    <x v="7"/>
    <s v="Lyon"/>
    <s v="Small Business"/>
    <s v="Distributor"/>
    <x v="10"/>
    <s v="Monitors"/>
    <x v="305"/>
    <n v="86.68"/>
    <n v="213.32"/>
    <n v="3.7999999999999999E-2"/>
    <n v="8"/>
    <x v="305"/>
    <n v="693.44"/>
    <n v="948.27071999999976"/>
    <n v="0.57761133459614611"/>
    <x v="19"/>
  </r>
  <r>
    <s v="ORD-2025-944081"/>
    <d v="2025-03-25T00:00:00"/>
    <d v="2025-03-26T00:00:00"/>
    <n v="1"/>
    <x v="0"/>
    <x v="1"/>
    <s v="Lagos"/>
    <s v="Education"/>
    <s v="Distributor"/>
    <x v="3"/>
    <s v="Accessories"/>
    <x v="306"/>
    <n v="1450.43"/>
    <n v="1994.67"/>
    <n v="0.1"/>
    <n v="24"/>
    <x v="306"/>
    <n v="34810.32"/>
    <n v="8274.5520000000033"/>
    <n v="0.19205237513529116"/>
    <x v="3"/>
  </r>
  <r>
    <s v="ORD-2025-364852"/>
    <d v="2025-05-18T00:00:00"/>
    <d v="2025-06-09T00:00:00"/>
    <n v="22"/>
    <x v="2"/>
    <x v="10"/>
    <s v="New York"/>
    <s v="Consumer"/>
    <s v="Retail"/>
    <x v="10"/>
    <s v="Networking"/>
    <x v="307"/>
    <n v="382.96"/>
    <n v="552.84"/>
    <n v="0.17599999999999999"/>
    <n v="8"/>
    <x v="307"/>
    <n v="3063.68"/>
    <n v="580.64128000000073"/>
    <n v="0.15932768693763483"/>
    <x v="8"/>
  </r>
  <r>
    <s v="ORD-2025-415018"/>
    <d v="2025-01-22T00:00:00"/>
    <d v="2025-02-04T00:00:00"/>
    <n v="13"/>
    <x v="1"/>
    <x v="2"/>
    <s v="Tokyo"/>
    <s v="Small Business"/>
    <s v="Distributor"/>
    <x v="4"/>
    <s v="Printers"/>
    <x v="308"/>
    <n v="122.29"/>
    <n v="224.95"/>
    <n v="0.153"/>
    <n v="28"/>
    <x v="308"/>
    <n v="3424.1200000000003"/>
    <n v="1910.7941999999989"/>
    <n v="0.3581677471026618"/>
    <x v="10"/>
  </r>
  <r>
    <s v="ORD-2023-884192"/>
    <d v="2023-01-10T00:00:00"/>
    <d v="2023-01-29T00:00:00"/>
    <n v="19"/>
    <x v="3"/>
    <x v="7"/>
    <s v="Lyon"/>
    <s v="Non-Profit"/>
    <s v="Direct"/>
    <x v="14"/>
    <s v="Laptops"/>
    <x v="309"/>
    <n v="401.66"/>
    <n v="772.09"/>
    <n v="8.8999999999999996E-2"/>
    <n v="14"/>
    <x v="309"/>
    <n v="5623.2400000000007"/>
    <n v="4223.99586"/>
    <n v="0.42895244107619046"/>
    <x v="5"/>
  </r>
  <r>
    <s v="ORD-2024-165942"/>
    <d v="2024-12-29T00:00:00"/>
    <d v="2025-01-12T00:00:00"/>
    <n v="14"/>
    <x v="3"/>
    <x v="8"/>
    <s v="Manchester"/>
    <s v="Corporate"/>
    <s v="Direct"/>
    <x v="5"/>
    <s v="Monitors"/>
    <x v="310"/>
    <n v="1399.72"/>
    <n v="3149.21"/>
    <n v="0.185"/>
    <n v="12"/>
    <x v="310"/>
    <n v="16796.64"/>
    <n v="14002.633800000003"/>
    <n v="0.45464168703873797"/>
    <x v="6"/>
  </r>
  <r>
    <s v="ORD-2024-403664"/>
    <d v="2024-05-23T00:00:00"/>
    <d v="2024-06-06T00:00:00"/>
    <n v="14"/>
    <x v="2"/>
    <x v="5"/>
    <s v="Rio de Janeiro"/>
    <s v="Non-Profit"/>
    <s v="Online"/>
    <x v="2"/>
    <s v="Networking"/>
    <x v="311"/>
    <n v="51.13"/>
    <n v="57.53"/>
    <n v="4.4999999999999998E-2"/>
    <n v="16"/>
    <x v="311"/>
    <n v="818.08"/>
    <n v="60.978399999999965"/>
    <n v="6.9367859973808302E-2"/>
    <x v="7"/>
  </r>
  <r>
    <s v="ORD-2023-890605"/>
    <d v="2023-06-24T00:00:00"/>
    <d v="2023-06-22T00:00:00"/>
    <n v="2"/>
    <x v="2"/>
    <x v="3"/>
    <s v="Toronto"/>
    <s v="Non-Profit"/>
    <s v="Retail"/>
    <x v="12"/>
    <s v="Accessories"/>
    <x v="312"/>
    <n v="471.42"/>
    <n v="824.81"/>
    <n v="8.7999999999999995E-2"/>
    <n v="15"/>
    <x v="312"/>
    <n v="7071.3"/>
    <n v="4212.1007999999993"/>
    <n v="0.37330064531608231"/>
    <x v="23"/>
  </r>
  <r>
    <s v="ORD-2024-925626"/>
    <d v="2024-11-04T00:00:00"/>
    <d v="2024-11-05T00:00:00"/>
    <n v="1"/>
    <x v="3"/>
    <x v="8"/>
    <s v="London"/>
    <s v="Corporate"/>
    <s v="Retail"/>
    <x v="12"/>
    <s v="Printers"/>
    <x v="313"/>
    <n v="840.68"/>
    <n v="1493.53"/>
    <n v="0"/>
    <n v="27"/>
    <x v="313"/>
    <n v="22698.359999999997"/>
    <n v="17626.95"/>
    <n v="0.43711877230454027"/>
    <x v="18"/>
  </r>
  <r>
    <s v="ORD-2024-427031"/>
    <d v="2024-06-08T00:00:00"/>
    <d v="2024-06-24T00:00:00"/>
    <n v="16"/>
    <x v="0"/>
    <x v="11"/>
    <s v="Durban"/>
    <s v="Education"/>
    <s v="Distributor"/>
    <x v="10"/>
    <s v="Monitors"/>
    <x v="314"/>
    <n v="597.85"/>
    <n v="741.92"/>
    <n v="3.1E-2"/>
    <n v="7"/>
    <x v="314"/>
    <n v="4184.95"/>
    <n v="847.49335999999948"/>
    <n v="0.16840594108544515"/>
    <x v="17"/>
  </r>
  <r>
    <s v="ORD-2025-231184"/>
    <d v="2025-06-01T00:00:00"/>
    <d v="2025-06-06T00:00:00"/>
    <n v="5"/>
    <x v="3"/>
    <x v="7"/>
    <s v="Paris"/>
    <s v="Consumer"/>
    <s v="Distributor"/>
    <x v="3"/>
    <s v="Components"/>
    <x v="315"/>
    <n v="379.45"/>
    <n v="742.23"/>
    <n v="0.09"/>
    <n v="13"/>
    <x v="315"/>
    <n v="4932.8499999999995"/>
    <n v="3847.7309000000014"/>
    <n v="0.43820915083192286"/>
    <x v="16"/>
  </r>
  <r>
    <s v="ORD-2023-363031"/>
    <d v="2023-05-06T00:00:00"/>
    <d v="2023-05-14T00:00:00"/>
    <n v="8"/>
    <x v="1"/>
    <x v="2"/>
    <s v="Osaka"/>
    <s v="Enterprise"/>
    <s v="Marketplace"/>
    <x v="5"/>
    <s v="Phones"/>
    <x v="316"/>
    <n v="291.18"/>
    <n v="479.54"/>
    <n v="0.14099999999999999"/>
    <n v="22"/>
    <x v="316"/>
    <n v="6405.96"/>
    <n v="2656.3869199999999"/>
    <n v="0.29312350801066001"/>
    <x v="15"/>
  </r>
  <r>
    <s v="ORD-2023-619570"/>
    <d v="2023-11-14T00:00:00"/>
    <d v="2023-11-30T00:00:00"/>
    <n v="16"/>
    <x v="2"/>
    <x v="5"/>
    <s v="São Paulo"/>
    <s v="Enterprise"/>
    <s v="Direct"/>
    <x v="11"/>
    <s v="Networking"/>
    <x v="317"/>
    <n v="1017.92"/>
    <n v="1175.25"/>
    <n v="7.4999999999999997E-2"/>
    <n v="15"/>
    <x v="317"/>
    <n v="15268.8"/>
    <n v="1037.7937500000007"/>
    <n v="6.3642583234159542E-2"/>
    <x v="30"/>
  </r>
  <r>
    <s v="ORD-2025-861401"/>
    <d v="2025-04-01T00:00:00"/>
    <d v="2025-04-27T00:00:00"/>
    <n v="26"/>
    <x v="2"/>
    <x v="10"/>
    <s v="San Francisco"/>
    <s v="Corporate"/>
    <s v="Direct"/>
    <x v="2"/>
    <s v="Monitors"/>
    <x v="318"/>
    <n v="156.55000000000001"/>
    <n v="227.45"/>
    <n v="1.4E-2"/>
    <n v="13"/>
    <x v="318"/>
    <n v="2035.15"/>
    <n v="880.30409999999983"/>
    <n v="0.3019440779396938"/>
    <x v="19"/>
  </r>
  <r>
    <s v="ORD-2023-835010"/>
    <d v="2023-03-23T00:00:00"/>
    <d v="2023-04-15T00:00:00"/>
    <n v="23"/>
    <x v="0"/>
    <x v="0"/>
    <s v="Mombasa"/>
    <s v="Small Business"/>
    <s v="Retail"/>
    <x v="0"/>
    <s v="Accessories"/>
    <x v="319"/>
    <n v="875.36"/>
    <n v="1178.6199999999999"/>
    <n v="0.151"/>
    <n v="53"/>
    <x v="319"/>
    <n v="46394.080000000002"/>
    <n v="6640.2841399999888"/>
    <n v="0.12520719815685888"/>
    <x v="22"/>
  </r>
  <r>
    <s v="ORD-2024-819979"/>
    <d v="2024-05-28T00:00:00"/>
    <d v="2024-06-18T00:00:00"/>
    <n v="21"/>
    <x v="3"/>
    <x v="6"/>
    <s v="Frankfurt"/>
    <s v="Small Business"/>
    <s v="Online"/>
    <x v="6"/>
    <s v="Phones"/>
    <x v="320"/>
    <n v="986.85"/>
    <n v="2422.1"/>
    <n v="7.5999999999999998E-2"/>
    <n v="10"/>
    <x v="320"/>
    <n v="9868.5"/>
    <n v="12511.704000000002"/>
    <n v="0.55905227673527913"/>
    <x v="7"/>
  </r>
  <r>
    <s v="ORD-2024-719055"/>
    <d v="2024-01-02T00:00:00"/>
    <d v="2024-01-01T00:00:00"/>
    <n v="1"/>
    <x v="2"/>
    <x v="10"/>
    <s v="Chicago"/>
    <s v="Education"/>
    <s v="Marketplace"/>
    <x v="5"/>
    <s v="Networking"/>
    <x v="321"/>
    <n v="404.77"/>
    <n v="433.88"/>
    <n v="0.215"/>
    <n v="22"/>
    <x v="321"/>
    <n v="8904.9399999999987"/>
    <n v="1411.8323999999975"/>
    <n v="0.18841747314558746"/>
    <x v="9"/>
  </r>
  <r>
    <s v="ORD-2023-888245"/>
    <d v="2023-02-28T00:00:00"/>
    <d v="2023-02-27T00:00:00"/>
    <n v="1"/>
    <x v="3"/>
    <x v="7"/>
    <s v="Marseille"/>
    <s v="Corporate"/>
    <s v="Retail"/>
    <x v="11"/>
    <s v="Networking"/>
    <x v="322"/>
    <n v="1299.81"/>
    <n v="3149.13"/>
    <n v="0.10299999999999999"/>
    <n v="14"/>
    <x v="322"/>
    <n v="18197.34"/>
    <n v="21349.434539999998"/>
    <n v="0.53985273864511729"/>
    <x v="2"/>
  </r>
  <r>
    <s v="ORD-2024-206121"/>
    <d v="2024-02-18T00:00:00"/>
    <d v="2024-03-11T00:00:00"/>
    <n v="22"/>
    <x v="2"/>
    <x v="5"/>
    <s v="São Paulo"/>
    <s v="Consumer"/>
    <s v="Online"/>
    <x v="8"/>
    <s v="Components"/>
    <x v="323"/>
    <n v="80.48"/>
    <n v="65.650000000000006"/>
    <n v="0.17599999999999999"/>
    <n v="13"/>
    <x v="323"/>
    <n v="1046.24"/>
    <n v="342.99719999999991"/>
    <n v="0.48773652570634191"/>
    <x v="31"/>
  </r>
  <r>
    <s v="ORD-2024-500890"/>
    <d v="2024-09-09T00:00:00"/>
    <d v="2024-10-08T00:00:00"/>
    <n v="29"/>
    <x v="2"/>
    <x v="5"/>
    <s v="São Paulo"/>
    <s v="Education"/>
    <s v="Direct"/>
    <x v="1"/>
    <s v="Components"/>
    <x v="324"/>
    <n v="1010.33"/>
    <n v="2492.14"/>
    <n v="5.0999999999999997E-2"/>
    <n v="11"/>
    <x v="324"/>
    <n v="11113.630000000001"/>
    <n v="14901.819459999995"/>
    <n v="0.57280653493656752"/>
    <x v="29"/>
  </r>
  <r>
    <s v="ORD-2023-144816"/>
    <d v="2023-05-07T00:00:00"/>
    <d v="2023-05-29T00:00:00"/>
    <n v="22"/>
    <x v="0"/>
    <x v="11"/>
    <s v="Durban"/>
    <s v="Education"/>
    <s v="Distributor"/>
    <x v="11"/>
    <s v="Accessories"/>
    <x v="325"/>
    <n v="653.86"/>
    <n v="931.84"/>
    <n v="0.121"/>
    <n v="12"/>
    <x v="325"/>
    <n v="7846.32"/>
    <n v="1982.7283200000002"/>
    <n v="0.20172129136506273"/>
    <x v="15"/>
  </r>
  <r>
    <s v="ORD-2024-153053"/>
    <d v="2024-01-12T00:00:00"/>
    <d v="2024-01-29T00:00:00"/>
    <n v="17"/>
    <x v="1"/>
    <x v="4"/>
    <s v="Hyderabad"/>
    <s v="Small Business"/>
    <s v="Direct"/>
    <x v="5"/>
    <s v="Components"/>
    <x v="326"/>
    <n v="310.02"/>
    <n v="619.51"/>
    <n v="4.2000000000000003E-2"/>
    <n v="4"/>
    <x v="326"/>
    <n v="1240.08"/>
    <n v="1133.8823200000002"/>
    <n v="0.47763282106347843"/>
    <x v="9"/>
  </r>
  <r>
    <s v="ORD-2023-536542"/>
    <d v="2023-06-10T00:00:00"/>
    <d v="2023-06-18T00:00:00"/>
    <n v="8"/>
    <x v="0"/>
    <x v="0"/>
    <s v="Nakuru"/>
    <s v="Enterprise"/>
    <s v="Direct"/>
    <x v="10"/>
    <s v="Phones"/>
    <x v="327"/>
    <n v="894.23"/>
    <n v="1421.55"/>
    <n v="0.109"/>
    <n v="3"/>
    <x v="327"/>
    <n v="2682.69"/>
    <n v="1117.1131499999997"/>
    <n v="0.29399237431549574"/>
    <x v="23"/>
  </r>
  <r>
    <s v="ORD-2025-779530"/>
    <d v="2025-05-19T00:00:00"/>
    <d v="2025-05-17T00:00:00"/>
    <n v="2"/>
    <x v="2"/>
    <x v="5"/>
    <s v="São Paulo"/>
    <s v="Small Business"/>
    <s v="Distributor"/>
    <x v="4"/>
    <s v="Monitors"/>
    <x v="328"/>
    <n v="383.77"/>
    <n v="952.56"/>
    <n v="0.34599999999999997"/>
    <n v="10"/>
    <x v="328"/>
    <n v="3837.7"/>
    <n v="2392.0423999999994"/>
    <n v="0.38397131797937578"/>
    <x v="8"/>
  </r>
  <r>
    <s v="ORD-2023-163610"/>
    <d v="2023-10-22T00:00:00"/>
    <d v="2023-11-16T00:00:00"/>
    <n v="25"/>
    <x v="2"/>
    <x v="3"/>
    <s v="Toronto"/>
    <s v="Small Business"/>
    <s v="Marketplace"/>
    <x v="2"/>
    <s v="Laptops"/>
    <x v="329"/>
    <n v="1373.31"/>
    <n v="3154.14"/>
    <n v="0.2"/>
    <n v="11"/>
    <x v="329"/>
    <n v="15106.41"/>
    <n v="12650.022000000001"/>
    <n v="0.45575101295440279"/>
    <x v="32"/>
  </r>
  <r>
    <s v="ORD-2025-653781"/>
    <d v="2025-01-11T00:00:00"/>
    <d v="2025-01-23T00:00:00"/>
    <n v="12"/>
    <x v="2"/>
    <x v="10"/>
    <s v="Austin"/>
    <s v="Consumer"/>
    <s v="Distributor"/>
    <x v="10"/>
    <s v="Phones"/>
    <x v="330"/>
    <n v="100.69"/>
    <n v="226.14"/>
    <n v="6.5000000000000002E-2"/>
    <n v="12"/>
    <x v="330"/>
    <n v="1208.28"/>
    <n v="1329.0108000000002"/>
    <n v="0.52379128162999689"/>
    <x v="10"/>
  </r>
  <r>
    <s v="ORD-2025-737787"/>
    <d v="2025-09-14T00:00:00"/>
    <d v="2025-09-26T00:00:00"/>
    <n v="12"/>
    <x v="3"/>
    <x v="8"/>
    <s v="London"/>
    <s v="Small Business"/>
    <s v="Direct"/>
    <x v="13"/>
    <s v="Networking"/>
    <x v="331"/>
    <n v="425.15"/>
    <n v="885.92"/>
    <n v="0.23899999999999999"/>
    <n v="13"/>
    <x v="331"/>
    <n v="5526.95"/>
    <n v="3237.4565599999996"/>
    <n v="0.3693868532725848"/>
    <x v="11"/>
  </r>
  <r>
    <s v="ORD-2023-944052"/>
    <d v="2023-08-30T00:00:00"/>
    <d v="2023-09-03T00:00:00"/>
    <n v="4"/>
    <x v="1"/>
    <x v="4"/>
    <s v="Delhi"/>
    <s v="Small Business"/>
    <s v="Marketplace"/>
    <x v="4"/>
    <s v="Accessories"/>
    <x v="332"/>
    <n v="1082.25"/>
    <n v="2433.34"/>
    <n v="0.27"/>
    <n v="4"/>
    <x v="332"/>
    <n v="4329"/>
    <n v="2776.3528000000006"/>
    <n v="0.3907410199251472"/>
    <x v="25"/>
  </r>
  <r>
    <s v="ORD-2023-181257"/>
    <d v="2023-11-15T00:00:00"/>
    <d v="2023-12-06T00:00:00"/>
    <n v="21"/>
    <x v="3"/>
    <x v="8"/>
    <s v="Manchester"/>
    <s v="Education"/>
    <s v="Direct"/>
    <x v="10"/>
    <s v="Accessories"/>
    <x v="333"/>
    <n v="1184.99"/>
    <n v="1154.3399999999999"/>
    <n v="2.8000000000000001E-2"/>
    <n v="5"/>
    <x v="333"/>
    <n v="5924.95"/>
    <n v="314.85760000000028"/>
    <n v="5.6123424990290764E-2"/>
    <x v="30"/>
  </r>
  <r>
    <s v="ORD-2025-323492"/>
    <d v="2025-04-27T00:00:00"/>
    <d v="2025-05-27T00:00:00"/>
    <n v="30"/>
    <x v="1"/>
    <x v="4"/>
    <s v="Unknown"/>
    <s v="Enterprise"/>
    <s v="Marketplace"/>
    <x v="10"/>
    <s v="Phones"/>
    <x v="334"/>
    <n v="481.32"/>
    <n v="1135.99"/>
    <n v="0.14499999999999999"/>
    <n v="5"/>
    <x v="334"/>
    <n v="2406.6"/>
    <n v="2449.7572500000001"/>
    <n v="0.50444337677175621"/>
    <x v="19"/>
  </r>
  <r>
    <s v="ORD-2024-332076"/>
    <d v="2024-04-09T00:00:00"/>
    <d v="2024-04-18T00:00:00"/>
    <n v="9"/>
    <x v="3"/>
    <x v="7"/>
    <s v="Lyon"/>
    <s v="Consumer"/>
    <s v="Online"/>
    <x v="6"/>
    <s v="Printers"/>
    <x v="335"/>
    <n v="1288.8499999999999"/>
    <n v="2751.84"/>
    <n v="0.158"/>
    <n v="7"/>
    <x v="335"/>
    <n v="9021.9499999999989"/>
    <n v="7197.3949600000014"/>
    <n v="0.44375373837538756"/>
    <x v="20"/>
  </r>
  <r>
    <s v="ORD-2024-571797"/>
    <d v="2024-07-11T00:00:00"/>
    <d v="2024-07-31T00:00:00"/>
    <n v="20"/>
    <x v="1"/>
    <x v="9"/>
    <s v="Shenzhen"/>
    <s v="Consumer"/>
    <s v="Online"/>
    <x v="3"/>
    <s v="Phones"/>
    <x v="336"/>
    <n v="647.26"/>
    <n v="1374.72"/>
    <n v="6.6000000000000003E-2"/>
    <n v="22"/>
    <x v="336"/>
    <n v="14239.72"/>
    <n v="14008.02656"/>
    <n v="0.49589890401508901"/>
    <x v="14"/>
  </r>
  <r>
    <s v="ORD-2024-129345"/>
    <d v="2024-02-18T00:00:00"/>
    <d v="2024-03-03T00:00:00"/>
    <n v="14"/>
    <x v="2"/>
    <x v="5"/>
    <s v="Unknown"/>
    <s v="Enterprise"/>
    <s v="Distributor"/>
    <x v="8"/>
    <s v="Printers"/>
    <x v="337"/>
    <n v="624.23"/>
    <n v="1318.37"/>
    <n v="0.21"/>
    <n v="37"/>
    <x v="337"/>
    <n v="23096.510000000002"/>
    <n v="15439.445099999997"/>
    <n v="0.40065038118128793"/>
    <x v="31"/>
  </r>
  <r>
    <s v="ORD-2023-660608"/>
    <d v="2023-07-25T00:00:00"/>
    <d v="2023-08-10T00:00:00"/>
    <n v="16"/>
    <x v="0"/>
    <x v="1"/>
    <s v="Port Harcourt"/>
    <s v="Corporate"/>
    <s v="Distributor"/>
    <x v="2"/>
    <s v="Accessories"/>
    <x v="338"/>
    <n v="506.83"/>
    <n v="441.74"/>
    <n v="0.24"/>
    <n v="9"/>
    <x v="338"/>
    <n v="4561.47"/>
    <n v="1539.9684000000002"/>
    <n v="0.50966989393618067"/>
    <x v="24"/>
  </r>
  <r>
    <s v="ORD-2023-825084"/>
    <d v="2023-07-14T00:00:00"/>
    <d v="2023-07-21T00:00:00"/>
    <n v="7"/>
    <x v="0"/>
    <x v="11"/>
    <s v="Durban"/>
    <s v="Enterprise"/>
    <s v="Marketplace"/>
    <x v="15"/>
    <s v="Monitors"/>
    <x v="339"/>
    <n v="620.74"/>
    <n v="1330.07"/>
    <n v="0.29899999999999999"/>
    <n v="28"/>
    <x v="339"/>
    <n v="17380.72"/>
    <n v="8725.8939600000012"/>
    <n v="0.33424073965967516"/>
    <x v="24"/>
  </r>
  <r>
    <s v="ORD-2023-261081"/>
    <d v="2023-07-24T00:00:00"/>
    <d v="2023-08-19T00:00:00"/>
    <n v="26"/>
    <x v="0"/>
    <x v="0"/>
    <s v="Nairobi"/>
    <s v="Enterprise"/>
    <s v="Distributor"/>
    <x v="12"/>
    <s v="Accessories"/>
    <x v="340"/>
    <n v="661.45"/>
    <n v="1634.86"/>
    <n v="0.56499999999999995"/>
    <n v="24"/>
    <x v="340"/>
    <n v="15874.800000000001"/>
    <n v="1193.1384000000016"/>
    <n v="6.9905244092045793E-2"/>
    <x v="24"/>
  </r>
  <r>
    <s v="ORD-2023-766015"/>
    <d v="2023-04-13T00:00:00"/>
    <d v="2023-04-11T00:00:00"/>
    <n v="2"/>
    <x v="2"/>
    <x v="10"/>
    <s v="San Francisco"/>
    <s v="Education"/>
    <s v="Marketplace"/>
    <x v="3"/>
    <s v="Networking"/>
    <x v="341"/>
    <n v="32.1"/>
    <n v="70.599999999999994"/>
    <n v="0.28199999999999997"/>
    <n v="22"/>
    <x v="341"/>
    <n v="706.2"/>
    <n v="408.99759999999969"/>
    <n v="0.36674899587301818"/>
    <x v="12"/>
  </r>
  <r>
    <s v="ORD-2024-333192"/>
    <d v="2024-10-29T00:00:00"/>
    <d v="2024-11-04T00:00:00"/>
    <n v="6"/>
    <x v="0"/>
    <x v="0"/>
    <s v="Nairobi"/>
    <s v="Corporate"/>
    <s v="Distributor"/>
    <x v="12"/>
    <s v="Printers"/>
    <x v="342"/>
    <n v="805.81"/>
    <n v="1823.04"/>
    <n v="0"/>
    <n v="11"/>
    <x v="342"/>
    <n v="8863.91"/>
    <n v="11189.529999999999"/>
    <n v="0.55798556257679477"/>
    <x v="1"/>
  </r>
  <r>
    <s v="ORD-2024-647473"/>
    <d v="2024-02-17T00:00:00"/>
    <d v="2024-03-04T00:00:00"/>
    <n v="16"/>
    <x v="1"/>
    <x v="4"/>
    <s v="Delhi"/>
    <s v="Small Business"/>
    <s v="Marketplace"/>
    <x v="9"/>
    <s v="Phones"/>
    <x v="343"/>
    <n v="1231.8"/>
    <n v="2015.99"/>
    <n v="0.26100000000000001"/>
    <n v="6"/>
    <x v="343"/>
    <n v="7390.7999999999993"/>
    <n v="1548.0996600000017"/>
    <n v="0.17318682599464391"/>
    <x v="31"/>
  </r>
  <r>
    <s v="ORD-2024-892908"/>
    <d v="2024-07-13T00:00:00"/>
    <d v="2024-07-12T00:00:00"/>
    <n v="1"/>
    <x v="1"/>
    <x v="2"/>
    <s v="Nagoya"/>
    <s v="Small Business"/>
    <s v="Marketplace"/>
    <x v="9"/>
    <s v="Networking"/>
    <x v="344"/>
    <n v="105.13"/>
    <n v="244.13"/>
    <n v="7.0999999999999994E-2"/>
    <n v="14"/>
    <x v="344"/>
    <n v="1471.82"/>
    <n v="1703.3347799999999"/>
    <n v="0.53645724319618837"/>
    <x v="14"/>
  </r>
  <r>
    <s v="ORD-2023-573146"/>
    <d v="2023-12-01T00:00:00"/>
    <d v="2023-12-18T00:00:00"/>
    <n v="17"/>
    <x v="1"/>
    <x v="2"/>
    <s v="Nagoya"/>
    <s v="Small Business"/>
    <s v="Direct"/>
    <x v="13"/>
    <s v="Laptops"/>
    <x v="345"/>
    <n v="1495.79"/>
    <n v="2783.12"/>
    <n v="0.02"/>
    <n v="5"/>
    <x v="345"/>
    <n v="7478.95"/>
    <n v="6158.3379999999988"/>
    <n v="0.45158084217331185"/>
    <x v="4"/>
  </r>
  <r>
    <s v="ORD-2024-901115"/>
    <d v="2024-07-25T00:00:00"/>
    <d v="2024-08-02T00:00:00"/>
    <n v="8"/>
    <x v="2"/>
    <x v="3"/>
    <s v="Montreal"/>
    <s v="Consumer"/>
    <s v="Direct"/>
    <x v="1"/>
    <s v="Accessories"/>
    <x v="346"/>
    <n v="986.81"/>
    <n v="2050.31"/>
    <n v="0.10299999999999999"/>
    <n v="43"/>
    <x v="346"/>
    <n v="42432.829999999994"/>
    <n v="36649.677010000007"/>
    <n v="0.46343595310358138"/>
    <x v="14"/>
  </r>
  <r>
    <s v="ORD-2023-898009"/>
    <d v="2023-05-04T00:00:00"/>
    <d v="2023-05-16T00:00:00"/>
    <n v="12"/>
    <x v="0"/>
    <x v="1"/>
    <s v="Abuja"/>
    <s v="Small Business"/>
    <s v="Marketplace"/>
    <x v="1"/>
    <s v="Phones"/>
    <x v="347"/>
    <n v="77.739999999999995"/>
    <n v="147.12"/>
    <n v="0"/>
    <n v="15"/>
    <x v="347"/>
    <n v="1166.0999999999999"/>
    <n v="1040.7000000000003"/>
    <n v="0.47158781946710177"/>
    <x v="15"/>
  </r>
  <r>
    <s v="ORD-2023-208944"/>
    <d v="2023-12-21T00:00:00"/>
    <d v="2024-01-06T00:00:00"/>
    <n v="16"/>
    <x v="0"/>
    <x v="1"/>
    <s v="Unknown"/>
    <s v="Corporate"/>
    <s v="Marketplace"/>
    <x v="11"/>
    <s v="Components"/>
    <x v="348"/>
    <n v="932.61"/>
    <n v="1982.98"/>
    <n v="0.14399999999999999"/>
    <n v="16"/>
    <x v="348"/>
    <n v="14921.76"/>
    <n v="12237.134079999998"/>
    <n v="0.45057556629345635"/>
    <x v="4"/>
  </r>
  <r>
    <s v="ORD-2025-480172"/>
    <d v="2025-06-17T00:00:00"/>
    <d v="2025-07-05T00:00:00"/>
    <n v="18"/>
    <x v="1"/>
    <x v="4"/>
    <s v="Delhi"/>
    <s v="Consumer"/>
    <s v="Marketplace"/>
    <x v="4"/>
    <s v="Laptops"/>
    <x v="349"/>
    <n v="982.93"/>
    <n v="2299.3000000000002"/>
    <n v="0.113"/>
    <n v="6"/>
    <x v="349"/>
    <n v="5897.58"/>
    <n v="6339.2946000000011"/>
    <n v="0.51804850562087157"/>
    <x v="16"/>
  </r>
  <r>
    <s v="ORD-2023-735274"/>
    <d v="2023-02-23T00:00:00"/>
    <d v="2023-03-08T00:00:00"/>
    <n v="13"/>
    <x v="3"/>
    <x v="8"/>
    <s v="Manchester"/>
    <s v="Small Business"/>
    <s v="Direct"/>
    <x v="0"/>
    <s v="Printers"/>
    <x v="350"/>
    <n v="307.37"/>
    <n v="462.61"/>
    <n v="0.188"/>
    <n v="11"/>
    <x v="350"/>
    <n v="3381.07"/>
    <n v="750.9625200000005"/>
    <n v="0.18174167709599739"/>
    <x v="2"/>
  </r>
  <r>
    <s v="ORD-2023-212701"/>
    <d v="2023-12-02T00:00:00"/>
    <d v="2023-12-16T00:00:00"/>
    <n v="14"/>
    <x v="3"/>
    <x v="6"/>
    <s v="Frankfurt"/>
    <s v="Education"/>
    <s v="Direct"/>
    <x v="13"/>
    <s v="Monitors"/>
    <x v="351"/>
    <n v="879.08"/>
    <n v="1093.3900000000001"/>
    <n v="0.113"/>
    <n v="17"/>
    <x v="351"/>
    <n v="14944.36"/>
    <n v="1542.8678099999997"/>
    <n v="9.3579577341935186E-2"/>
    <x v="4"/>
  </r>
  <r>
    <s v="ORD-2023-479747"/>
    <d v="2023-07-14T00:00:00"/>
    <d v="2023-07-14T00:00:00"/>
    <n v="0"/>
    <x v="0"/>
    <x v="1"/>
    <s v="Lagos"/>
    <s v="Education"/>
    <s v="Retail"/>
    <x v="2"/>
    <s v="Accessories"/>
    <x v="352"/>
    <n v="956.38"/>
    <n v="1454.22"/>
    <n v="3.9E-2"/>
    <n v="19"/>
    <x v="352"/>
    <n v="18171.22"/>
    <n v="8381.3829799999985"/>
    <n v="0.31565202802576603"/>
    <x v="24"/>
  </r>
  <r>
    <s v="ORD-2024-915495"/>
    <d v="2024-08-08T00:00:00"/>
    <d v="2024-08-20T00:00:00"/>
    <n v="12"/>
    <x v="1"/>
    <x v="2"/>
    <s v="Osaka"/>
    <s v="Small Business"/>
    <s v="Retail"/>
    <x v="10"/>
    <s v="Networking"/>
    <x v="353"/>
    <n v="1233.3599999999999"/>
    <n v="2120.4"/>
    <n v="0.17899999999999999"/>
    <n v="20"/>
    <x v="353"/>
    <n v="24667.199999999997"/>
    <n v="10149.768000000004"/>
    <n v="0.29151785991244278"/>
    <x v="21"/>
  </r>
  <r>
    <s v="ORD-2024-225829"/>
    <d v="2024-11-07T00:00:00"/>
    <d v="2024-11-26T00:00:00"/>
    <n v="19"/>
    <x v="2"/>
    <x v="5"/>
    <s v="Rio de Janeiro"/>
    <s v="Non-Profit"/>
    <s v="Distributor"/>
    <x v="1"/>
    <s v="Printers"/>
    <x v="354"/>
    <n v="55.35"/>
    <n v="128.68"/>
    <n v="0.128"/>
    <n v="10"/>
    <x v="354"/>
    <n v="553.5"/>
    <n v="568.58960000000025"/>
    <n v="0.50672388372550647"/>
    <x v="18"/>
  </r>
  <r>
    <s v="ORD-2024-921935"/>
    <d v="2024-01-01T00:00:00"/>
    <d v="2024-01-27T00:00:00"/>
    <n v="26"/>
    <x v="3"/>
    <x v="8"/>
    <s v="Manchester"/>
    <s v="Education"/>
    <s v="Distributor"/>
    <x v="14"/>
    <s v="Accessories"/>
    <x v="355"/>
    <n v="657.45"/>
    <n v="1325.96"/>
    <n v="0.16700000000000001"/>
    <n v="21"/>
    <x v="355"/>
    <n v="13806.45"/>
    <n v="9388.5682799999995"/>
    <n v="0.40476658249048808"/>
    <x v="9"/>
  </r>
  <r>
    <s v="ORD-2025-949776"/>
    <d v="2025-08-14T00:00:00"/>
    <d v="2025-09-11T00:00:00"/>
    <n v="28"/>
    <x v="2"/>
    <x v="5"/>
    <s v="São Paulo"/>
    <s v="Non-Profit"/>
    <s v="Direct"/>
    <x v="9"/>
    <s v="Printers"/>
    <x v="356"/>
    <n v="1203.02"/>
    <n v="2439.33"/>
    <n v="0"/>
    <n v="18"/>
    <x v="356"/>
    <n v="21654.36"/>
    <n v="22253.58"/>
    <n v="0.50682359500354612"/>
    <x v="28"/>
  </r>
  <r>
    <s v="ORD-2024-510591"/>
    <d v="2024-04-03T00:00:00"/>
    <d v="2024-04-21T00:00:00"/>
    <n v="18"/>
    <x v="2"/>
    <x v="5"/>
    <s v="Brasília"/>
    <s v="Small Business"/>
    <s v="Distributor"/>
    <x v="5"/>
    <s v="Networking"/>
    <x v="357"/>
    <n v="1176.69"/>
    <n v="2201.54"/>
    <n v="0.17"/>
    <n v="27"/>
    <x v="357"/>
    <n v="31770.63"/>
    <n v="17565.881399999995"/>
    <n v="0.35604222717701106"/>
    <x v="20"/>
  </r>
  <r>
    <s v="ORD-2024-961756"/>
    <d v="2024-11-25T00:00:00"/>
    <d v="2024-12-07T00:00:00"/>
    <n v="12"/>
    <x v="1"/>
    <x v="9"/>
    <s v="Shanghai"/>
    <s v="Corporate"/>
    <s v="Distributor"/>
    <x v="8"/>
    <s v="Accessories"/>
    <x v="358"/>
    <n v="769.9"/>
    <n v="814.36"/>
    <n v="0"/>
    <n v="5"/>
    <x v="358"/>
    <n v="3849.5"/>
    <n v="222.30000000000018"/>
    <n v="5.4595019401738831E-2"/>
    <x v="18"/>
  </r>
  <r>
    <s v="ORD-2024-892173"/>
    <d v="2024-01-18T00:00:00"/>
    <d v="2024-02-03T00:00:00"/>
    <n v="16"/>
    <x v="0"/>
    <x v="11"/>
    <s v="Cape Town"/>
    <s v="Non-Profit"/>
    <s v="Distributor"/>
    <x v="4"/>
    <s v="Printers"/>
    <x v="359"/>
    <n v="666.23"/>
    <n v="1382.91"/>
    <n v="0.17599999999999999"/>
    <n v="13"/>
    <x v="359"/>
    <n v="8660.99"/>
    <n v="6152.7419200000022"/>
    <n v="0.41534043907553048"/>
    <x v="9"/>
  </r>
  <r>
    <s v="ORD-2024-704056"/>
    <d v="2024-06-23T00:00:00"/>
    <d v="2024-06-25T00:00:00"/>
    <n v="2"/>
    <x v="3"/>
    <x v="8"/>
    <s v="Birmingham"/>
    <s v="Small Business"/>
    <s v="Marketplace"/>
    <x v="4"/>
    <s v="Accessories"/>
    <x v="360"/>
    <n v="951.44"/>
    <n v="1646.43"/>
    <n v="0.11"/>
    <n v="24"/>
    <x v="360"/>
    <n v="22834.560000000001"/>
    <n v="12333.184799999999"/>
    <n v="0.35069592520473475"/>
    <x v="17"/>
  </r>
  <r>
    <s v="ORD-2025-591006"/>
    <d v="2025-06-25T00:00:00"/>
    <d v="2025-07-10T00:00:00"/>
    <n v="15"/>
    <x v="3"/>
    <x v="8"/>
    <s v="Birmingham"/>
    <s v="Non-Profit"/>
    <s v="Marketplace"/>
    <x v="14"/>
    <s v="Phones"/>
    <x v="361"/>
    <n v="546.83000000000004"/>
    <n v="400.84"/>
    <n v="7.8E-2"/>
    <n v="13"/>
    <x v="361"/>
    <n v="7108.7900000000009"/>
    <n v="2304.3217600000007"/>
    <n v="0.47962056254533608"/>
    <x v="16"/>
  </r>
  <r>
    <s v="ORD-2023-159821"/>
    <d v="2023-07-01T00:00:00"/>
    <d v="2023-07-08T00:00:00"/>
    <n v="7"/>
    <x v="0"/>
    <x v="1"/>
    <s v="Port Harcourt"/>
    <s v="Corporate"/>
    <s v="Retail"/>
    <x v="8"/>
    <s v="Laptops"/>
    <x v="362"/>
    <n v="834.26"/>
    <n v="1780.56"/>
    <n v="1.4E-2"/>
    <n v="47"/>
    <x v="362"/>
    <n v="39210.22"/>
    <n v="43304.491519999996"/>
    <n v="0.5248093427497933"/>
    <x v="24"/>
  </r>
  <r>
    <s v="ORD-2024-343877"/>
    <d v="2024-03-09T00:00:00"/>
    <d v="2024-03-26T00:00:00"/>
    <n v="17"/>
    <x v="1"/>
    <x v="9"/>
    <s v="Shenzhen"/>
    <s v="Enterprise"/>
    <s v="Online"/>
    <x v="11"/>
    <s v="Monitors"/>
    <x v="363"/>
    <n v="1029.67"/>
    <n v="1118.43"/>
    <n v="0.27200000000000002"/>
    <n v="9"/>
    <x v="363"/>
    <n v="9267.0300000000007"/>
    <n v="1939.0766400000002"/>
    <n v="0.26461367106736061"/>
    <x v="0"/>
  </r>
  <r>
    <s v="ORD-2023-386663"/>
    <d v="2023-06-05T00:00:00"/>
    <d v="2023-06-28T00:00:00"/>
    <n v="23"/>
    <x v="3"/>
    <x v="8"/>
    <s v="Birmingham"/>
    <s v="Corporate"/>
    <s v="Direct"/>
    <x v="11"/>
    <s v="Printers"/>
    <x v="364"/>
    <n v="605.82000000000005"/>
    <n v="771.12"/>
    <n v="0.13200000000000001"/>
    <n v="19"/>
    <x v="364"/>
    <n v="11510.580000000002"/>
    <n v="1206.7310399999988"/>
    <n v="9.4888851597986767E-2"/>
    <x v="23"/>
  </r>
  <r>
    <s v="ORD-2025-125517"/>
    <d v="2025-03-21T00:00:00"/>
    <d v="2025-04-09T00:00:00"/>
    <n v="19"/>
    <x v="1"/>
    <x v="2"/>
    <s v="Tokyo"/>
    <s v="Small Business"/>
    <s v="Distributor"/>
    <x v="6"/>
    <s v="Components"/>
    <x v="365"/>
    <n v="1055.45"/>
    <n v="1210.04"/>
    <n v="8.9999999999999993E-3"/>
    <n v="18"/>
    <x v="365"/>
    <n v="18998.100000000002"/>
    <n v="2586.5935199999985"/>
    <n v="0.1198346188053727"/>
    <x v="3"/>
  </r>
  <r>
    <s v="ORD-2024-819778"/>
    <d v="2024-06-02T00:00:00"/>
    <d v="2024-06-15T00:00:00"/>
    <n v="13"/>
    <x v="0"/>
    <x v="0"/>
    <s v="Mombasa"/>
    <s v="Education"/>
    <s v="Online"/>
    <x v="7"/>
    <s v="Phones"/>
    <x v="366"/>
    <n v="1295.18"/>
    <n v="3024.03"/>
    <n v="0.192"/>
    <n v="8"/>
    <x v="366"/>
    <n v="10361.44"/>
    <n v="9185.8899200000033"/>
    <n v="0.46993067378483178"/>
    <x v="17"/>
  </r>
  <r>
    <s v="ORD-2025-624006"/>
    <d v="2025-03-15T00:00:00"/>
    <d v="2025-03-29T00:00:00"/>
    <n v="14"/>
    <x v="1"/>
    <x v="4"/>
    <s v="Mumbai"/>
    <s v="Enterprise"/>
    <s v="Direct"/>
    <x v="0"/>
    <s v="Components"/>
    <x v="367"/>
    <n v="935.83"/>
    <n v="2303.46"/>
    <n v="0.105"/>
    <n v="9"/>
    <x v="367"/>
    <n v="8422.4700000000012"/>
    <n v="10131.900299999998"/>
    <n v="0.54606543559174292"/>
    <x v="3"/>
  </r>
  <r>
    <s v="ORD-2023-132101"/>
    <d v="2023-09-25T00:00:00"/>
    <d v="2023-10-09T00:00:00"/>
    <n v="14"/>
    <x v="2"/>
    <x v="10"/>
    <s v="New York"/>
    <s v="Small Business"/>
    <s v="Marketplace"/>
    <x v="1"/>
    <s v="Laptops"/>
    <x v="368"/>
    <n v="1279.56"/>
    <n v="3083.8"/>
    <n v="0.106"/>
    <n v="5"/>
    <x v="368"/>
    <n v="6397.7999999999993"/>
    <n v="7386.7860000000019"/>
    <n v="0.53587289455047848"/>
    <x v="27"/>
  </r>
  <r>
    <s v="ORD-2025-306903"/>
    <d v="2025-06-24T00:00:00"/>
    <d v="2025-07-23T00:00:00"/>
    <n v="29"/>
    <x v="2"/>
    <x v="3"/>
    <s v="Vancouver"/>
    <s v="Non-Profit"/>
    <s v="Marketplace"/>
    <x v="2"/>
    <s v="Printers"/>
    <x v="369"/>
    <n v="255.4"/>
    <n v="322.70999999999998"/>
    <n v="0.115"/>
    <n v="16"/>
    <x v="369"/>
    <n v="4086.4"/>
    <n v="483.17359999999962"/>
    <n v="0.10573713048412212"/>
    <x v="16"/>
  </r>
  <r>
    <s v="ORD-2023-813340"/>
    <d v="2023-12-26T00:00:00"/>
    <d v="2024-01-03T00:00:00"/>
    <n v="8"/>
    <x v="3"/>
    <x v="7"/>
    <s v="Lyon"/>
    <s v="Small Business"/>
    <s v="Retail"/>
    <x v="12"/>
    <s v="Laptops"/>
    <x v="370"/>
    <n v="492.75"/>
    <n v="731.29"/>
    <n v="5.8000000000000003E-2"/>
    <n v="6"/>
    <x v="370"/>
    <n v="2956.5"/>
    <n v="1176.75108"/>
    <n v="0.28470350753528384"/>
    <x v="4"/>
  </r>
  <r>
    <s v="ORD-2023-855675"/>
    <d v="2023-02-05T00:00:00"/>
    <d v="2023-02-28T00:00:00"/>
    <n v="23"/>
    <x v="2"/>
    <x v="10"/>
    <s v="Austin"/>
    <s v="Non-Profit"/>
    <s v="Distributor"/>
    <x v="4"/>
    <s v="Phones"/>
    <x v="371"/>
    <n v="1214.49"/>
    <n v="1533.95"/>
    <n v="0"/>
    <n v="11"/>
    <x v="371"/>
    <n v="13359.39"/>
    <n v="3514.0600000000013"/>
    <n v="0.20825972163369086"/>
    <x v="2"/>
  </r>
  <r>
    <s v="ORD-2023-545150"/>
    <d v="2023-04-06T00:00:00"/>
    <d v="2023-04-08T00:00:00"/>
    <n v="2"/>
    <x v="0"/>
    <x v="1"/>
    <s v="Abuja"/>
    <s v="Small Business"/>
    <s v="Marketplace"/>
    <x v="11"/>
    <s v="Monitors"/>
    <x v="372"/>
    <n v="720.35"/>
    <n v="1571.66"/>
    <n v="0.107"/>
    <n v="23"/>
    <x v="372"/>
    <n v="16568.05"/>
    <n v="15712.274740000001"/>
    <n v="0.4867446305622265"/>
    <x v="12"/>
  </r>
  <r>
    <s v="ORD-2025-269934"/>
    <d v="2025-04-04T00:00:00"/>
    <d v="2025-04-10T00:00:00"/>
    <n v="6"/>
    <x v="3"/>
    <x v="8"/>
    <s v="Birmingham"/>
    <s v="Non-Profit"/>
    <s v="Direct"/>
    <x v="13"/>
    <s v="Printers"/>
    <x v="373"/>
    <n v="290.14"/>
    <n v="250.73"/>
    <n v="3.4000000000000002E-2"/>
    <n v="17"/>
    <x v="373"/>
    <n v="4932.38"/>
    <n v="814.89194000000043"/>
    <n v="0.19790997038131072"/>
    <x v="19"/>
  </r>
  <r>
    <s v="ORD-2024-690270"/>
    <d v="2024-05-17T00:00:00"/>
    <d v="2024-05-27T00:00:00"/>
    <n v="10"/>
    <x v="2"/>
    <x v="10"/>
    <s v="Austin"/>
    <s v="Non-Profit"/>
    <s v="Online"/>
    <x v="0"/>
    <s v="Phones"/>
    <x v="374"/>
    <n v="1484.23"/>
    <n v="3472.81"/>
    <n v="0.25600000000000001"/>
    <n v="12"/>
    <x v="374"/>
    <n v="17810.760000000002"/>
    <n v="13194.487679999998"/>
    <n v="0.42555659661803413"/>
    <x v="7"/>
  </r>
  <r>
    <s v="ORD-2024-868223"/>
    <d v="2024-03-03T00:00:00"/>
    <d v="2024-03-19T00:00:00"/>
    <n v="16"/>
    <x v="1"/>
    <x v="9"/>
    <s v="Beijing"/>
    <s v="Consumer"/>
    <s v="Distributor"/>
    <x v="3"/>
    <s v="Phones"/>
    <x v="375"/>
    <n v="988.83"/>
    <n v="1206.04"/>
    <n v="6.3E-2"/>
    <n v="34"/>
    <x v="375"/>
    <n v="33620.22"/>
    <n v="4801.8023200000025"/>
    <n v="0.12497526236406606"/>
    <x v="0"/>
  </r>
  <r>
    <s v="ORD-2025-188059"/>
    <d v="2025-06-27T00:00:00"/>
    <d v="2025-07-11T00:00:00"/>
    <n v="14"/>
    <x v="1"/>
    <x v="9"/>
    <s v="Shanghai"/>
    <s v="Small Business"/>
    <s v="Marketplace"/>
    <x v="4"/>
    <s v="Networking"/>
    <x v="376"/>
    <n v="1227.7"/>
    <n v="2197.23"/>
    <n v="9.9000000000000005E-2"/>
    <n v="22"/>
    <x v="376"/>
    <n v="27009.4"/>
    <n v="16544.093059999999"/>
    <n v="0.37985685871873898"/>
    <x v="16"/>
  </r>
  <r>
    <s v="ORD-2023-281890"/>
    <d v="2023-03-13T00:00:00"/>
    <d v="2023-04-04T00:00:00"/>
    <n v="22"/>
    <x v="0"/>
    <x v="11"/>
    <s v="Durban"/>
    <s v="Small Business"/>
    <s v="Retail"/>
    <x v="8"/>
    <s v="Components"/>
    <x v="377"/>
    <n v="1113.7"/>
    <n v="1620.6"/>
    <n v="0.13900000000000001"/>
    <n v="11"/>
    <x v="377"/>
    <n v="12250.7"/>
    <n v="3098.002599999998"/>
    <n v="0.20184133348182787"/>
    <x v="22"/>
  </r>
  <r>
    <s v="ORD-2025-636162"/>
    <d v="2025-01-07T00:00:00"/>
    <d v="2025-01-20T00:00:00"/>
    <n v="13"/>
    <x v="0"/>
    <x v="11"/>
    <s v="Cape Town"/>
    <s v="Corporate"/>
    <s v="Direct"/>
    <x v="11"/>
    <s v="Networking"/>
    <x v="378"/>
    <n v="432.13"/>
    <n v="1034.6600000000001"/>
    <n v="9.1999999999999998E-2"/>
    <n v="7"/>
    <x v="378"/>
    <n v="3024.91"/>
    <n v="3551.3889600000011"/>
    <n v="0.54002851476204794"/>
    <x v="10"/>
  </r>
  <r>
    <s v="ORD-2025-915869"/>
    <d v="2025-02-06T00:00:00"/>
    <d v="2025-02-15T00:00:00"/>
    <n v="9"/>
    <x v="2"/>
    <x v="5"/>
    <s v="São Paulo"/>
    <s v="Non-Profit"/>
    <s v="Distributor"/>
    <x v="9"/>
    <s v="Networking"/>
    <x v="379"/>
    <n v="837.39"/>
    <n v="1905.42"/>
    <n v="3.2000000000000001E-2"/>
    <n v="18"/>
    <x v="379"/>
    <n v="15073.02"/>
    <n v="18127.018079999998"/>
    <n v="0.54599389423350919"/>
    <x v="26"/>
  </r>
  <r>
    <s v="ORD-2025-192876"/>
    <d v="2025-01-31T00:00:00"/>
    <d v="2025-02-17T00:00:00"/>
    <n v="17"/>
    <x v="3"/>
    <x v="8"/>
    <s v="London"/>
    <s v="Enterprise"/>
    <s v="Retail"/>
    <x v="10"/>
    <s v="Components"/>
    <x v="78"/>
    <n v="378.26"/>
    <n v="541.55999999999995"/>
    <n v="0.16300000000000001"/>
    <n v="25"/>
    <x v="380"/>
    <n v="9456.5"/>
    <n v="1875.6429999999982"/>
    <n v="0.16551529573885526"/>
    <x v="10"/>
  </r>
  <r>
    <s v="ORD-2025-822030"/>
    <d v="2025-08-07T00:00:00"/>
    <d v="2025-09-06T00:00:00"/>
    <n v="30"/>
    <x v="2"/>
    <x v="3"/>
    <s v="Montreal"/>
    <s v="Education"/>
    <s v="Direct"/>
    <x v="12"/>
    <s v="Networking"/>
    <x v="380"/>
    <n v="833.73"/>
    <n v="1116.5999999999999"/>
    <n v="0.17599999999999999"/>
    <n v="14"/>
    <x v="381"/>
    <n v="11672.220000000001"/>
    <n v="1208.877599999998"/>
    <n v="9.3848958958279924E-2"/>
    <x v="28"/>
  </r>
  <r>
    <s v="ORD-2025-789245"/>
    <d v="2025-07-23T00:00:00"/>
    <d v="2025-08-17T00:00:00"/>
    <n v="25"/>
    <x v="3"/>
    <x v="8"/>
    <s v="Birmingham"/>
    <s v="Education"/>
    <s v="Online"/>
    <x v="2"/>
    <s v="Printers"/>
    <x v="381"/>
    <n v="1142.06"/>
    <n v="1455"/>
    <n v="7.8E-2"/>
    <n v="28"/>
    <x v="382"/>
    <n v="31977.68"/>
    <n v="5584.5999999999985"/>
    <n v="0.1486757459877302"/>
    <x v="13"/>
  </r>
  <r>
    <s v="ORD-2023-594955"/>
    <d v="2023-06-20T00:00:00"/>
    <d v="2023-07-08T00:00:00"/>
    <n v="18"/>
    <x v="2"/>
    <x v="10"/>
    <s v="New York"/>
    <s v="Consumer"/>
    <s v="Marketplace"/>
    <x v="7"/>
    <s v="Networking"/>
    <x v="382"/>
    <n v="1145.53"/>
    <n v="1278.3"/>
    <n v="0.09"/>
    <n v="41"/>
    <x v="383"/>
    <n v="46966.729999999996"/>
    <n v="726.64300000000367"/>
    <n v="1.5235722581416158E-2"/>
    <x v="23"/>
  </r>
  <r>
    <s v="ORD-2024-398783"/>
    <d v="2024-07-18T00:00:00"/>
    <d v="2024-08-07T00:00:00"/>
    <n v="20"/>
    <x v="3"/>
    <x v="7"/>
    <s v="Marseille"/>
    <s v="Corporate"/>
    <s v="Retail"/>
    <x v="9"/>
    <s v="Monitors"/>
    <x v="383"/>
    <n v="941.35"/>
    <n v="899.83"/>
    <n v="5.8000000000000003E-2"/>
    <n v="18"/>
    <x v="384"/>
    <n v="16944.3"/>
    <n v="1686.7825199999988"/>
    <n v="0.11055419220139073"/>
    <x v="14"/>
  </r>
  <r>
    <s v="ORD-2023-676553"/>
    <d v="2023-05-20T00:00:00"/>
    <d v="2023-06-19T00:00:00"/>
    <n v="30"/>
    <x v="1"/>
    <x v="4"/>
    <s v="Delhi"/>
    <s v="Non-Profit"/>
    <s v="Marketplace"/>
    <x v="10"/>
    <s v="Laptops"/>
    <x v="384"/>
    <n v="1161.2"/>
    <n v="878.73"/>
    <n v="0.19"/>
    <n v="31"/>
    <x v="385"/>
    <n v="35997.200000000004"/>
    <n v="13932.289700000001"/>
    <n v="0.63142290227212028"/>
    <x v="15"/>
  </r>
  <r>
    <s v="ORD-2025-866565"/>
    <d v="2025-05-12T00:00:00"/>
    <d v="2025-05-26T00:00:00"/>
    <n v="14"/>
    <x v="1"/>
    <x v="4"/>
    <s v="Hyderabad"/>
    <s v="Corporate"/>
    <s v="Marketplace"/>
    <x v="3"/>
    <s v="Printers"/>
    <x v="385"/>
    <n v="320.12"/>
    <n v="594.41999999999996"/>
    <n v="0.104"/>
    <n v="18"/>
    <x v="386"/>
    <n v="5762.16"/>
    <n v="3824.6457599999994"/>
    <n v="0.39894891538931104"/>
    <x v="8"/>
  </r>
  <r>
    <s v="ORD-2024-527858"/>
    <d v="2024-05-07T00:00:00"/>
    <d v="2024-05-12T00:00:00"/>
    <n v="5"/>
    <x v="0"/>
    <x v="1"/>
    <s v="Abuja"/>
    <s v="Non-Profit"/>
    <s v="Distributor"/>
    <x v="4"/>
    <s v="Laptops"/>
    <x v="386"/>
    <n v="1163.99"/>
    <n v="1617.85"/>
    <n v="0.127"/>
    <n v="14"/>
    <x v="387"/>
    <n v="16295.86"/>
    <n v="3477.5026999999973"/>
    <n v="0.17586804797749436"/>
    <x v="7"/>
  </r>
  <r>
    <s v="ORD-2023-619385"/>
    <d v="2023-09-30T00:00:00"/>
    <d v="2023-10-03T00:00:00"/>
    <n v="3"/>
    <x v="1"/>
    <x v="9"/>
    <s v="Beijing"/>
    <s v="Non-Profit"/>
    <s v="Retail"/>
    <x v="1"/>
    <s v="Laptops"/>
    <x v="387"/>
    <n v="1019.36"/>
    <n v="972.91"/>
    <n v="0.14699999999999999"/>
    <n v="17"/>
    <x v="388"/>
    <n v="17329.12"/>
    <n v="3220.9520899999989"/>
    <n v="0.22830406545678819"/>
    <x v="27"/>
  </r>
  <r>
    <s v="ORD-2023-835226"/>
    <d v="2023-10-26T00:00:00"/>
    <d v="2023-11-05T00:00:00"/>
    <n v="10"/>
    <x v="0"/>
    <x v="11"/>
    <s v="Cape Town"/>
    <s v="Non-Profit"/>
    <s v="Online"/>
    <x v="2"/>
    <s v="Laptops"/>
    <x v="388"/>
    <n v="20.38"/>
    <n v="42.56"/>
    <n v="7.1999999999999995E-2"/>
    <n v="11"/>
    <x v="389"/>
    <n v="224.17999999999998"/>
    <n v="210.27248000000006"/>
    <n v="0.48399419885921713"/>
    <x v="32"/>
  </r>
  <r>
    <s v="ORD-2025-485946"/>
    <d v="2025-06-15T00:00:00"/>
    <d v="2025-06-30T00:00:00"/>
    <n v="15"/>
    <x v="0"/>
    <x v="11"/>
    <s v="Johannesburg"/>
    <s v="Small Business"/>
    <s v="Direct"/>
    <x v="0"/>
    <s v="Monitors"/>
    <x v="389"/>
    <n v="1487.59"/>
    <n v="1480.83"/>
    <n v="8.9999999999999993E-3"/>
    <n v="11"/>
    <x v="390"/>
    <n v="16363.49"/>
    <n v="220.9621700000007"/>
    <n v="1.3688201273492908E-2"/>
    <x v="16"/>
  </r>
  <r>
    <s v="ORD-2024-307849"/>
    <d v="2024-08-10T00:00:00"/>
    <d v="2024-09-07T00:00:00"/>
    <n v="28"/>
    <x v="3"/>
    <x v="7"/>
    <s v="Marseille"/>
    <s v="Non-Profit"/>
    <s v="Direct"/>
    <x v="9"/>
    <s v="Printers"/>
    <x v="390"/>
    <n v="229.96"/>
    <n v="564.26"/>
    <n v="0.105"/>
    <n v="5"/>
    <x v="391"/>
    <n v="1149.8"/>
    <n v="1375.2635000000002"/>
    <n v="0.54464511486542821"/>
    <x v="21"/>
  </r>
  <r>
    <s v="ORD-2023-368449"/>
    <d v="2023-10-09T00:00:00"/>
    <d v="2023-10-26T00:00:00"/>
    <n v="17"/>
    <x v="1"/>
    <x v="9"/>
    <s v="Shanghai"/>
    <s v="Consumer"/>
    <s v="Marketplace"/>
    <x v="0"/>
    <s v="Components"/>
    <x v="391"/>
    <n v="1132.03"/>
    <n v="2137.21"/>
    <n v="0.35699999999999998"/>
    <n v="35"/>
    <x v="392"/>
    <n v="39621.049999999996"/>
    <n v="8476.8610500000068"/>
    <n v="0.17624177152284051"/>
    <x v="32"/>
  </r>
  <r>
    <s v="ORD-2024-251426"/>
    <d v="2024-03-09T00:00:00"/>
    <d v="2024-03-26T00:00:00"/>
    <n v="17"/>
    <x v="2"/>
    <x v="10"/>
    <s v="San Francisco"/>
    <s v="Education"/>
    <s v="Direct"/>
    <x v="2"/>
    <s v="Phones"/>
    <x v="392"/>
    <n v="1137.4100000000001"/>
    <n v="1680.93"/>
    <n v="0.254"/>
    <n v="9"/>
    <x v="393"/>
    <n v="10236.69"/>
    <n v="1049.07402"/>
    <n v="9.2955516183121464E-2"/>
    <x v="0"/>
  </r>
  <r>
    <s v="ORD-2023-927385"/>
    <d v="2023-05-29T00:00:00"/>
    <d v="2023-06-20T00:00:00"/>
    <n v="22"/>
    <x v="3"/>
    <x v="8"/>
    <s v="London"/>
    <s v="Small Business"/>
    <s v="Direct"/>
    <x v="11"/>
    <s v="Components"/>
    <x v="393"/>
    <n v="1295.3900000000001"/>
    <n v="2905.06"/>
    <n v="0.14799999999999999"/>
    <n v="8"/>
    <x v="394"/>
    <n v="10363.120000000001"/>
    <n v="9437.7689599999994"/>
    <n v="0.47663359857556614"/>
    <x v="15"/>
  </r>
  <r>
    <s v="ORD-2025-486350"/>
    <d v="2025-05-27T00:00:00"/>
    <d v="2025-06-08T00:00:00"/>
    <n v="12"/>
    <x v="1"/>
    <x v="2"/>
    <s v="Osaka"/>
    <s v="Corporate"/>
    <s v="Retail"/>
    <x v="10"/>
    <s v="Accessories"/>
    <x v="394"/>
    <n v="653.6"/>
    <n v="842.09"/>
    <n v="9.8000000000000004E-2"/>
    <n v="19"/>
    <x v="395"/>
    <n v="12418.4"/>
    <n v="2013.3384200000019"/>
    <n v="0.13950768517324622"/>
    <x v="8"/>
  </r>
  <r>
    <s v="ORD-2025-677880"/>
    <d v="2025-08-21T00:00:00"/>
    <d v="2025-09-14T00:00:00"/>
    <n v="24"/>
    <x v="3"/>
    <x v="6"/>
    <s v="Berlin"/>
    <s v="Non-Profit"/>
    <s v="Online"/>
    <x v="8"/>
    <s v="Monitors"/>
    <x v="395"/>
    <n v="1397.67"/>
    <n v="3131.37"/>
    <n v="0.10299999999999999"/>
    <n v="20"/>
    <x v="396"/>
    <n v="27953.4"/>
    <n v="28223.377799999995"/>
    <n v="0.50240293062874808"/>
    <x v="28"/>
  </r>
  <r>
    <s v="ORD-2024-102866"/>
    <d v="2024-12-12T00:00:00"/>
    <d v="2024-12-20T00:00:00"/>
    <n v="8"/>
    <x v="1"/>
    <x v="2"/>
    <s v="Tokyo"/>
    <s v="Corporate"/>
    <s v="Retail"/>
    <x v="5"/>
    <s v="Laptops"/>
    <x v="396"/>
    <n v="1202.47"/>
    <n v="1444.72"/>
    <n v="0.24099999999999999"/>
    <n v="17"/>
    <x v="397"/>
    <n v="20441.990000000002"/>
    <n v="1800.7678400000004"/>
    <n v="9.6601382921343834E-2"/>
    <x v="6"/>
  </r>
  <r>
    <s v="ORD-2025-588029"/>
    <d v="2025-09-14T00:00:00"/>
    <d v="2025-09-23T00:00:00"/>
    <n v="9"/>
    <x v="0"/>
    <x v="11"/>
    <s v="Durban"/>
    <s v="Non-Profit"/>
    <s v="Online"/>
    <x v="14"/>
    <s v="Components"/>
    <x v="397"/>
    <n v="1310.3"/>
    <n v="2875.8"/>
    <n v="8.3000000000000004E-2"/>
    <n v="5"/>
    <x v="398"/>
    <n v="6551.5"/>
    <n v="6634.0429999999997"/>
    <n v="0.50313005691157353"/>
    <x v="11"/>
  </r>
  <r>
    <s v="ORD-2024-972999"/>
    <d v="2024-09-06T00:00:00"/>
    <d v="2024-10-04T00:00:00"/>
    <n v="28"/>
    <x v="0"/>
    <x v="11"/>
    <s v="Cape Town"/>
    <s v="Corporate"/>
    <s v="Marketplace"/>
    <x v="14"/>
    <s v="Monitors"/>
    <x v="398"/>
    <n v="1174.17"/>
    <n v="1641.61"/>
    <n v="0.122"/>
    <n v="9"/>
    <x v="399"/>
    <n v="10567.53"/>
    <n v="2404.4722199999997"/>
    <n v="0.18535860380079394"/>
    <x v="29"/>
  </r>
  <r>
    <s v="ORD-2025-608069"/>
    <d v="2025-04-12T00:00:00"/>
    <d v="2025-04-30T00:00:00"/>
    <n v="18"/>
    <x v="0"/>
    <x v="0"/>
    <s v="Kisumu"/>
    <s v="Corporate"/>
    <s v="Marketplace"/>
    <x v="9"/>
    <s v="Networking"/>
    <x v="399"/>
    <n v="1119.04"/>
    <n v="1299.02"/>
    <n v="2.5000000000000001E-2"/>
    <n v="14"/>
    <x v="400"/>
    <n v="15666.56"/>
    <n v="2065.0630000000001"/>
    <n v="0.11646215352085933"/>
    <x v="19"/>
  </r>
  <r>
    <s v="ORD-2024-626750"/>
    <d v="2024-08-12T00:00:00"/>
    <d v="2024-08-15T00:00:00"/>
    <n v="3"/>
    <x v="2"/>
    <x v="10"/>
    <s v="Chicago"/>
    <s v="Corporate"/>
    <s v="Marketplace"/>
    <x v="14"/>
    <s v="Printers"/>
    <x v="400"/>
    <n v="850.7"/>
    <n v="1118.56"/>
    <n v="0.18"/>
    <n v="19"/>
    <x v="401"/>
    <n v="16163.300000000001"/>
    <n v="1263.8648000000012"/>
    <n v="7.2522685962090688E-2"/>
    <x v="21"/>
  </r>
  <r>
    <s v="ORD-2024-170021"/>
    <d v="2024-11-05T00:00:00"/>
    <d v="2024-11-08T00:00:00"/>
    <n v="3"/>
    <x v="2"/>
    <x v="3"/>
    <s v="Toronto"/>
    <s v="Education"/>
    <s v="Marketplace"/>
    <x v="7"/>
    <s v="Components"/>
    <x v="401"/>
    <n v="1020.4"/>
    <n v="1184.71"/>
    <n v="0.106"/>
    <n v="16"/>
    <x v="402"/>
    <n v="16326.4"/>
    <n v="619.69184000000132"/>
    <n v="3.6568422138328345E-2"/>
    <x v="18"/>
  </r>
  <r>
    <s v="ORD-2024-678110"/>
    <d v="2024-07-24T00:00:00"/>
    <d v="2024-08-08T00:00:00"/>
    <n v="15"/>
    <x v="3"/>
    <x v="7"/>
    <s v="Marseille"/>
    <s v="Enterprise"/>
    <s v="Marketplace"/>
    <x v="10"/>
    <s v="Laptops"/>
    <x v="402"/>
    <n v="501.5"/>
    <n v="1201.47"/>
    <n v="0.126"/>
    <n v="5"/>
    <x v="403"/>
    <n v="2507.5"/>
    <n v="2742.9239000000007"/>
    <n v="0.52241951359394057"/>
    <x v="14"/>
  </r>
  <r>
    <s v="ORD-2025-909340"/>
    <d v="2025-01-20T00:00:00"/>
    <d v="2025-02-03T00:00:00"/>
    <n v="14"/>
    <x v="2"/>
    <x v="5"/>
    <s v="Brasília"/>
    <s v="Enterprise"/>
    <s v="Marketplace"/>
    <x v="9"/>
    <s v="Components"/>
    <x v="403"/>
    <n v="974.11"/>
    <n v="880.99"/>
    <n v="0.111"/>
    <n v="10"/>
    <x v="404"/>
    <n v="9741.1"/>
    <n v="1909.0989000000009"/>
    <n v="0.2437562093805121"/>
    <x v="10"/>
  </r>
  <r>
    <s v="ORD-2023-854471"/>
    <d v="2023-03-06T00:00:00"/>
    <d v="2023-04-04T00:00:00"/>
    <n v="29"/>
    <x v="1"/>
    <x v="9"/>
    <s v="Beijing"/>
    <s v="Small Business"/>
    <s v="Direct"/>
    <x v="0"/>
    <s v="Monitors"/>
    <x v="404"/>
    <n v="1126.29"/>
    <n v="2050.87"/>
    <n v="6.4000000000000001E-2"/>
    <n v="7"/>
    <x v="405"/>
    <n v="7884.03"/>
    <n v="5553.2702399999989"/>
    <n v="0.41327276616690373"/>
    <x v="22"/>
  </r>
  <r>
    <s v="ORD-2024-390951"/>
    <d v="2024-12-20T00:00:00"/>
    <d v="2025-01-14T00:00:00"/>
    <n v="25"/>
    <x v="1"/>
    <x v="4"/>
    <s v="Delhi"/>
    <s v="Small Business"/>
    <s v="Retail"/>
    <x v="12"/>
    <s v="Printers"/>
    <x v="405"/>
    <n v="1361.34"/>
    <n v="1737.9"/>
    <n v="7.6999999999999999E-2"/>
    <n v="14"/>
    <x v="406"/>
    <n v="19058.759999999998"/>
    <n v="3398.3838000000032"/>
    <n v="0.15132751654731813"/>
    <x v="6"/>
  </r>
  <r>
    <s v="ORD-2025-881624"/>
    <d v="2025-02-21T00:00:00"/>
    <d v="2025-03-21T00:00:00"/>
    <n v="28"/>
    <x v="0"/>
    <x v="1"/>
    <s v="Abuja"/>
    <s v="Enterprise"/>
    <s v="Marketplace"/>
    <x v="2"/>
    <s v="Phones"/>
    <x v="406"/>
    <n v="1437.39"/>
    <n v="1388.31"/>
    <n v="0.13800000000000001"/>
    <n v="18"/>
    <x v="407"/>
    <n v="25873.02"/>
    <n v="4332.002040000003"/>
    <n v="0.20110479681341872"/>
    <x v="26"/>
  </r>
  <r>
    <s v="ORD-2025-512310"/>
    <d v="2025-03-08T00:00:00"/>
    <d v="2025-03-15T00:00:00"/>
    <n v="7"/>
    <x v="1"/>
    <x v="4"/>
    <s v="Bengaluru"/>
    <s v="Corporate"/>
    <s v="Distributor"/>
    <x v="11"/>
    <s v="Laptops"/>
    <x v="407"/>
    <n v="475.66"/>
    <n v="529.14"/>
    <n v="0.19600000000000001"/>
    <n v="11"/>
    <x v="408"/>
    <n v="5232.26"/>
    <n v="552.54583999999977"/>
    <n v="0.11807256193613323"/>
    <x v="3"/>
  </r>
  <r>
    <s v="ORD-2023-674887"/>
    <d v="2023-12-16T00:00:00"/>
    <d v="2023-12-19T00:00:00"/>
    <n v="3"/>
    <x v="1"/>
    <x v="9"/>
    <s v="Beijing"/>
    <s v="Education"/>
    <s v="Retail"/>
    <x v="8"/>
    <s v="Accessories"/>
    <x v="408"/>
    <n v="1415.05"/>
    <n v="1972.38"/>
    <n v="0"/>
    <n v="12"/>
    <x v="409"/>
    <n v="16980.599999999999"/>
    <n v="6687.9600000000028"/>
    <n v="0.28256725377462771"/>
    <x v="4"/>
  </r>
  <r>
    <s v="ORD-2024-542244"/>
    <d v="2024-08-30T00:00:00"/>
    <d v="2024-09-05T00:00:00"/>
    <n v="6"/>
    <x v="1"/>
    <x v="2"/>
    <s v="Nagoya"/>
    <s v="Education"/>
    <s v="Online"/>
    <x v="13"/>
    <s v="Laptops"/>
    <x v="409"/>
    <n v="466.16"/>
    <n v="876.81"/>
    <n v="0.24099999999999999"/>
    <n v="8"/>
    <x v="410"/>
    <n v="3729.28"/>
    <n v="1594.7103199999997"/>
    <n v="0.29953291124691594"/>
    <x v="21"/>
  </r>
  <r>
    <s v="ORD-2024-375848"/>
    <d v="2024-05-18T00:00:00"/>
    <d v="2024-05-21T00:00:00"/>
    <n v="3"/>
    <x v="3"/>
    <x v="7"/>
    <s v="Marseille"/>
    <s v="Non-Profit"/>
    <s v="Marketplace"/>
    <x v="14"/>
    <s v="Printers"/>
    <x v="410"/>
    <n v="663.66"/>
    <n v="824.26"/>
    <n v="0.23899999999999999"/>
    <n v="11"/>
    <x v="411"/>
    <n v="7300.2599999999993"/>
    <n v="400.379539999999"/>
    <n v="5.8027025587048933E-2"/>
    <x v="7"/>
  </r>
  <r>
    <s v="ORD-2023-933238"/>
    <d v="2023-03-17T00:00:00"/>
    <d v="2023-04-06T00:00:00"/>
    <n v="20"/>
    <x v="3"/>
    <x v="6"/>
    <s v="Munich"/>
    <s v="Consumer"/>
    <s v="Retail"/>
    <x v="7"/>
    <s v="Phones"/>
    <x v="411"/>
    <n v="692.18"/>
    <n v="1159.3499999999999"/>
    <n v="0.112"/>
    <n v="2"/>
    <x v="412"/>
    <n v="1384.36"/>
    <n v="674.64560000000006"/>
    <n v="0.32765602968734037"/>
    <x v="22"/>
  </r>
  <r>
    <s v="ORD-2023-732585"/>
    <d v="2023-08-25T00:00:00"/>
    <d v="2023-09-16T00:00:00"/>
    <n v="22"/>
    <x v="0"/>
    <x v="1"/>
    <s v="Abuja"/>
    <s v="Corporate"/>
    <s v="Marketplace"/>
    <x v="4"/>
    <s v="Phones"/>
    <x v="412"/>
    <n v="1196.83"/>
    <n v="2513.5100000000002"/>
    <n v="8.3000000000000004E-2"/>
    <n v="7"/>
    <x v="413"/>
    <n v="8377.81"/>
    <n v="7756.4106900000006"/>
    <n v="0.48074281609445374"/>
    <x v="25"/>
  </r>
  <r>
    <s v="ORD-2024-465898"/>
    <d v="2024-06-06T00:00:00"/>
    <d v="2024-06-24T00:00:00"/>
    <n v="18"/>
    <x v="1"/>
    <x v="4"/>
    <s v="Bengaluru"/>
    <s v="Small Business"/>
    <s v="Direct"/>
    <x v="10"/>
    <s v="Networking"/>
    <x v="413"/>
    <n v="1253.25"/>
    <n v="3087.13"/>
    <n v="7.1999999999999995E-2"/>
    <n v="11"/>
    <x v="414"/>
    <n v="13785.75"/>
    <n v="17727.673040000001"/>
    <n v="0.562543555408064"/>
    <x v="17"/>
  </r>
  <r>
    <s v="ORD-2023-987081"/>
    <d v="2023-08-29T00:00:00"/>
    <d v="2023-09-13T00:00:00"/>
    <n v="15"/>
    <x v="2"/>
    <x v="3"/>
    <s v="Vancouver"/>
    <s v="Small Business"/>
    <s v="Marketplace"/>
    <x v="7"/>
    <s v="Printers"/>
    <x v="414"/>
    <n v="1287.6400000000001"/>
    <n v="2717.15"/>
    <n v="3.2000000000000001E-2"/>
    <n v="7"/>
    <x v="415"/>
    <n v="9013.4800000000014"/>
    <n v="9397.9283999999989"/>
    <n v="0.51044049405802105"/>
    <x v="25"/>
  </r>
  <r>
    <s v="ORD-2024-655710"/>
    <d v="2024-11-30T00:00:00"/>
    <d v="2024-12-10T00:00:00"/>
    <n v="10"/>
    <x v="1"/>
    <x v="4"/>
    <s v="Hyderabad"/>
    <s v="Small Business"/>
    <s v="Retail"/>
    <x v="9"/>
    <s v="Accessories"/>
    <x v="415"/>
    <n v="851.49"/>
    <n v="901.79"/>
    <n v="0.245"/>
    <n v="16"/>
    <x v="416"/>
    <n v="13623.84"/>
    <n v="2730.2168000000001"/>
    <n v="0.25062522816100341"/>
    <x v="18"/>
  </r>
  <r>
    <s v="ORD-2025-411385"/>
    <d v="2025-06-05T00:00:00"/>
    <d v="2025-06-14T00:00:00"/>
    <n v="9"/>
    <x v="1"/>
    <x v="4"/>
    <s v="Delhi"/>
    <s v="Non-Profit"/>
    <s v="Retail"/>
    <x v="8"/>
    <s v="Accessories"/>
    <x v="416"/>
    <n v="618.69000000000005"/>
    <n v="796.15"/>
    <n v="0.09"/>
    <n v="11"/>
    <x v="417"/>
    <n v="6805.59"/>
    <n v="1163.8715000000002"/>
    <n v="0.14604142325049191"/>
    <x v="16"/>
  </r>
  <r>
    <s v="ORD-2025-222035"/>
    <d v="2025-03-14T00:00:00"/>
    <d v="2025-04-08T00:00:00"/>
    <n v="25"/>
    <x v="1"/>
    <x v="9"/>
    <s v="Unknown"/>
    <s v="Corporate"/>
    <s v="Distributor"/>
    <x v="14"/>
    <s v="Printers"/>
    <x v="417"/>
    <n v="80.59"/>
    <n v="157.82"/>
    <n v="0.217"/>
    <n v="6"/>
    <x v="418"/>
    <n v="483.54"/>
    <n v="257.89835999999997"/>
    <n v="0.34783519967863541"/>
    <x v="3"/>
  </r>
  <r>
    <s v="ORD-2024-749242"/>
    <d v="2024-01-16T00:00:00"/>
    <d v="2024-02-11T00:00:00"/>
    <n v="26"/>
    <x v="3"/>
    <x v="6"/>
    <s v="Frankfurt"/>
    <s v="Non-Profit"/>
    <s v="Distributor"/>
    <x v="6"/>
    <s v="Monitors"/>
    <x v="418"/>
    <n v="504.93"/>
    <n v="819.06"/>
    <n v="0.22600000000000001"/>
    <n v="15"/>
    <x v="419"/>
    <n v="7573.95"/>
    <n v="1935.3365999999996"/>
    <n v="0.20352069312959814"/>
    <x v="9"/>
  </r>
  <r>
    <s v="ORD-2023-623293"/>
    <d v="2023-10-12T00:00:00"/>
    <d v="2023-10-29T00:00:00"/>
    <n v="17"/>
    <x v="1"/>
    <x v="2"/>
    <s v="Nagoya"/>
    <s v="Non-Profit"/>
    <s v="Direct"/>
    <x v="10"/>
    <s v="Phones"/>
    <x v="419"/>
    <n v="1102.19"/>
    <n v="1711.16"/>
    <n v="0.151"/>
    <n v="10"/>
    <x v="420"/>
    <n v="11021.900000000001"/>
    <n v="3505.8484000000008"/>
    <n v="0.24132083675127525"/>
    <x v="32"/>
  </r>
  <r>
    <s v="ORD-2025-276968"/>
    <d v="2025-02-25T00:00:00"/>
    <d v="2025-03-17T00:00:00"/>
    <n v="20"/>
    <x v="2"/>
    <x v="10"/>
    <s v="San Francisco"/>
    <s v="Non-Profit"/>
    <s v="Marketplace"/>
    <x v="10"/>
    <s v="Phones"/>
    <x v="420"/>
    <n v="1205.26"/>
    <n v="1696.35"/>
    <n v="1.9E-2"/>
    <n v="6"/>
    <x v="421"/>
    <n v="7231.5599999999995"/>
    <n v="2753.1560999999983"/>
    <n v="0.27573704374028213"/>
    <x v="26"/>
  </r>
  <r>
    <s v="ORD-2025-650841"/>
    <d v="2025-07-03T00:00:00"/>
    <d v="2025-07-06T00:00:00"/>
    <n v="3"/>
    <x v="0"/>
    <x v="1"/>
    <s v="Lagos"/>
    <s v="Consumer"/>
    <s v="Online"/>
    <x v="15"/>
    <s v="Laptops"/>
    <x v="421"/>
    <n v="1313.3"/>
    <n v="2884.34"/>
    <n v="0.157"/>
    <n v="42"/>
    <x v="422"/>
    <n v="55158.6"/>
    <n v="46964.342039999996"/>
    <n v="0.45988042551305253"/>
    <x v="13"/>
  </r>
  <r>
    <s v="ORD-2025-831576"/>
    <d v="2025-09-15T00:00:00"/>
    <d v="2025-09-25T00:00:00"/>
    <n v="10"/>
    <x v="1"/>
    <x v="4"/>
    <s v="Delhi"/>
    <s v="Consumer"/>
    <s v="Retail"/>
    <x v="8"/>
    <s v="Phones"/>
    <x v="422"/>
    <n v="1488.91"/>
    <n v="1483.74"/>
    <n v="0.16800000000000001"/>
    <n v="24"/>
    <x v="423"/>
    <n v="35733.840000000004"/>
    <n v="6106.5196800000049"/>
    <n v="0.20611110333450519"/>
    <x v="11"/>
  </r>
  <r>
    <s v="ORD-2024-468655"/>
    <d v="2024-02-19T00:00:00"/>
    <d v="2024-03-06T00:00:00"/>
    <n v="16"/>
    <x v="1"/>
    <x v="9"/>
    <s v="Beijing"/>
    <s v="Education"/>
    <s v="Marketplace"/>
    <x v="7"/>
    <s v="Printers"/>
    <x v="423"/>
    <n v="1477.84"/>
    <n v="3197.47"/>
    <n v="0.24299999999999999"/>
    <n v="24"/>
    <x v="424"/>
    <n v="35468.159999999996"/>
    <n v="22623.474960000007"/>
    <n v="0.38944462443823091"/>
    <x v="31"/>
  </r>
  <r>
    <s v="ORD-2024-515105"/>
    <d v="2024-02-27T00:00:00"/>
    <d v="2024-03-26T00:00:00"/>
    <n v="28"/>
    <x v="1"/>
    <x v="4"/>
    <s v="Mumbai"/>
    <s v="Education"/>
    <s v="Marketplace"/>
    <x v="3"/>
    <s v="Laptops"/>
    <x v="424"/>
    <n v="1035.19"/>
    <n v="2322.6999999999998"/>
    <n v="0.17299999999999999"/>
    <n v="8"/>
    <x v="425"/>
    <n v="8281.52"/>
    <n v="7085.4631999999983"/>
    <n v="0.46108355217047409"/>
    <x v="31"/>
  </r>
  <r>
    <s v="ORD-2025-803803"/>
    <d v="2025-08-28T00:00:00"/>
    <d v="2025-09-05T00:00:00"/>
    <n v="8"/>
    <x v="0"/>
    <x v="1"/>
    <s v="Port Harcourt"/>
    <s v="Small Business"/>
    <s v="Marketplace"/>
    <x v="6"/>
    <s v="Laptops"/>
    <x v="425"/>
    <n v="1271.0999999999999"/>
    <n v="1932.42"/>
    <n v="0.25"/>
    <n v="21"/>
    <x v="426"/>
    <n v="26693.1"/>
    <n v="3742.5149999999994"/>
    <n v="0.12296498690760807"/>
    <x v="28"/>
  </r>
  <r>
    <s v="ORD-2024-993481"/>
    <d v="2024-08-18T00:00:00"/>
    <d v="2024-09-12T00:00:00"/>
    <n v="25"/>
    <x v="1"/>
    <x v="4"/>
    <s v="Mumbai"/>
    <s v="Consumer"/>
    <s v="Marketplace"/>
    <x v="0"/>
    <s v="Phones"/>
    <x v="426"/>
    <n v="1154.03"/>
    <n v="1590.36"/>
    <n v="0.314"/>
    <n v="18"/>
    <x v="427"/>
    <n v="20772.54"/>
    <n v="1134.7747200000013"/>
    <n v="5.7785328616576745E-2"/>
    <x v="21"/>
  </r>
  <r>
    <s v="ORD-2024-811752"/>
    <d v="2024-02-25T00:00:00"/>
    <d v="2024-03-09T00:00:00"/>
    <n v="13"/>
    <x v="3"/>
    <x v="7"/>
    <s v="Marseille"/>
    <s v="Small Business"/>
    <s v="Distributor"/>
    <x v="6"/>
    <s v="Monitors"/>
    <x v="427"/>
    <n v="322.44"/>
    <n v="395.61"/>
    <n v="0"/>
    <n v="34"/>
    <x v="428"/>
    <n v="10962.96"/>
    <n v="2487.7800000000007"/>
    <n v="0.18495487980586947"/>
    <x v="31"/>
  </r>
  <r>
    <s v="ORD-2025-673091"/>
    <d v="2025-05-07T00:00:00"/>
    <d v="2025-05-13T00:00:00"/>
    <n v="6"/>
    <x v="1"/>
    <x v="4"/>
    <s v="Bengaluru"/>
    <s v="Enterprise"/>
    <s v="Direct"/>
    <x v="1"/>
    <s v="Phones"/>
    <x v="428"/>
    <n v="935.98"/>
    <n v="2077.69"/>
    <n v="0.17499999999999999"/>
    <n v="24"/>
    <x v="429"/>
    <n v="22463.52"/>
    <n v="18674.741999999995"/>
    <n v="0.45395067978321491"/>
    <x v="8"/>
  </r>
  <r>
    <s v="ORD-2024-381197"/>
    <d v="2024-11-01T00:00:00"/>
    <d v="2024-11-12T00:00:00"/>
    <n v="11"/>
    <x v="3"/>
    <x v="6"/>
    <s v="Frankfurt"/>
    <s v="Consumer"/>
    <s v="Online"/>
    <x v="5"/>
    <s v="Printers"/>
    <x v="429"/>
    <n v="599.84"/>
    <n v="1330.85"/>
    <n v="0.115"/>
    <n v="11"/>
    <x v="430"/>
    <n v="6598.2400000000007"/>
    <n v="6357.5847499999973"/>
    <n v="0.49071246892252063"/>
    <x v="18"/>
  </r>
  <r>
    <s v="ORD-2024-651852"/>
    <d v="2024-12-28T00:00:00"/>
    <d v="2025-01-08T00:00:00"/>
    <n v="11"/>
    <x v="1"/>
    <x v="9"/>
    <s v="Shenzhen"/>
    <s v="Enterprise"/>
    <s v="Online"/>
    <x v="11"/>
    <s v="Laptops"/>
    <x v="430"/>
    <n v="1201.31"/>
    <n v="2764.65"/>
    <n v="0"/>
    <n v="21"/>
    <x v="431"/>
    <n v="25227.51"/>
    <n v="32830.14"/>
    <n v="0.56547483406579491"/>
    <x v="6"/>
  </r>
  <r>
    <s v="ORD-2023-659070"/>
    <d v="2023-10-21T00:00:00"/>
    <d v="2023-10-21T00:00:00"/>
    <n v="0"/>
    <x v="3"/>
    <x v="8"/>
    <s v="Manchester"/>
    <s v="Enterprise"/>
    <s v="Distributor"/>
    <x v="1"/>
    <s v="Monitors"/>
    <x v="431"/>
    <n v="384.19"/>
    <n v="278.35000000000002"/>
    <n v="5.6000000000000001E-2"/>
    <n v="10"/>
    <x v="432"/>
    <n v="3841.9"/>
    <n v="1214.2760000000003"/>
    <n v="0.46211938998882657"/>
    <x v="32"/>
  </r>
  <r>
    <s v="ORD-2024-837651"/>
    <d v="2024-12-10T00:00:00"/>
    <d v="2024-12-19T00:00:00"/>
    <n v="9"/>
    <x v="0"/>
    <x v="1"/>
    <s v="Lagos"/>
    <s v="Corporate"/>
    <s v="Retail"/>
    <x v="7"/>
    <s v="Monitors"/>
    <x v="432"/>
    <n v="488.68"/>
    <n v="984.36"/>
    <n v="5.8999999999999997E-2"/>
    <n v="14"/>
    <x v="433"/>
    <n v="6841.52"/>
    <n v="6126.4386400000003"/>
    <n v="0.47242891576649876"/>
    <x v="6"/>
  </r>
  <r>
    <s v="ORD-2024-581530"/>
    <d v="2024-09-07T00:00:00"/>
    <d v="2024-09-18T00:00:00"/>
    <n v="11"/>
    <x v="1"/>
    <x v="9"/>
    <s v="Beijing"/>
    <s v="Consumer"/>
    <s v="Distributor"/>
    <x v="7"/>
    <s v="Networking"/>
    <x v="433"/>
    <n v="181.74"/>
    <n v="190.84"/>
    <n v="0.214"/>
    <n v="13"/>
    <x v="434"/>
    <n v="2362.62"/>
    <n v="412.61687999999981"/>
    <n v="0.21159806144310159"/>
    <x v="29"/>
  </r>
  <r>
    <s v="ORD-2023-378104"/>
    <d v="2023-10-18T00:00:00"/>
    <d v="2023-10-20T00:00:00"/>
    <n v="2"/>
    <x v="0"/>
    <x v="0"/>
    <s v="Kisumu"/>
    <s v="Consumer"/>
    <s v="Retail"/>
    <x v="1"/>
    <s v="Phones"/>
    <x v="434"/>
    <n v="774.12"/>
    <n v="908.3"/>
    <n v="0"/>
    <n v="30"/>
    <x v="435"/>
    <n v="23223.599999999999"/>
    <n v="4025.4000000000015"/>
    <n v="0.14772652207420461"/>
    <x v="32"/>
  </r>
  <r>
    <s v="ORD-2024-972318"/>
    <d v="2024-12-24T00:00:00"/>
    <d v="2025-01-13T00:00:00"/>
    <n v="20"/>
    <x v="1"/>
    <x v="4"/>
    <s v="Bengaluru"/>
    <s v="Corporate"/>
    <s v="Marketplace"/>
    <x v="14"/>
    <s v="Networking"/>
    <x v="435"/>
    <n v="126.15"/>
    <n v="284.23"/>
    <n v="0.113"/>
    <n v="22"/>
    <x v="436"/>
    <n v="2775.3"/>
    <n v="2771.1642200000006"/>
    <n v="0.49962716968541088"/>
    <x v="6"/>
  </r>
  <r>
    <s v="ORD-2023-752962"/>
    <d v="2023-04-21T00:00:00"/>
    <d v="2023-04-19T00:00:00"/>
    <n v="2"/>
    <x v="1"/>
    <x v="2"/>
    <s v="Nagoya"/>
    <s v="Small Business"/>
    <s v="Direct"/>
    <x v="12"/>
    <s v="Components"/>
    <x v="436"/>
    <n v="607.04"/>
    <n v="1229.3399999999999"/>
    <n v="0.14699999999999999"/>
    <n v="7"/>
    <x v="437"/>
    <n v="4249.28"/>
    <n v="3091.1091399999996"/>
    <n v="0.42110970972310058"/>
    <x v="12"/>
  </r>
  <r>
    <s v="ORD-2023-808024"/>
    <d v="2023-12-30T00:00:00"/>
    <d v="2024-01-08T00:00:00"/>
    <n v="9"/>
    <x v="3"/>
    <x v="7"/>
    <s v="Marseille"/>
    <s v="Consumer"/>
    <s v="Marketplace"/>
    <x v="4"/>
    <s v="Accessories"/>
    <x v="437"/>
    <n v="861.1"/>
    <n v="1224.72"/>
    <n v="0.17399999999999999"/>
    <n v="24"/>
    <x v="438"/>
    <n v="20666.400000000001"/>
    <n v="3612.4492800000007"/>
    <n v="0.14878997098827909"/>
    <x v="4"/>
  </r>
  <r>
    <s v="ORD-2023-156396"/>
    <d v="2023-02-21T00:00:00"/>
    <d v="2023-03-12T00:00:00"/>
    <n v="19"/>
    <x v="0"/>
    <x v="0"/>
    <s v="Nakuru"/>
    <s v="Corporate"/>
    <s v="Online"/>
    <x v="9"/>
    <s v="Networking"/>
    <x v="438"/>
    <n v="352.65"/>
    <n v="485.86"/>
    <n v="4.1000000000000002E-2"/>
    <n v="6"/>
    <x v="439"/>
    <n v="2115.8999999999996"/>
    <n v="679.73844000000008"/>
    <n v="0.24314247159943908"/>
    <x v="2"/>
  </r>
  <r>
    <s v="ORD-2023-184577"/>
    <d v="2023-05-17T00:00:00"/>
    <d v="2023-06-03T00:00:00"/>
    <n v="17"/>
    <x v="1"/>
    <x v="9"/>
    <s v="Beijing"/>
    <s v="Non-Profit"/>
    <s v="Distributor"/>
    <x v="12"/>
    <s v="Printers"/>
    <x v="439"/>
    <n v="979.59"/>
    <n v="2210.94"/>
    <n v="0.15"/>
    <n v="11"/>
    <x v="440"/>
    <n v="10775.49"/>
    <n v="9896.7990000000009"/>
    <n v="0.47874712858358359"/>
    <x v="15"/>
  </r>
  <r>
    <s v="ORD-2024-446030"/>
    <d v="2024-03-23T00:00:00"/>
    <d v="2024-03-26T00:00:00"/>
    <n v="3"/>
    <x v="1"/>
    <x v="4"/>
    <s v="Bengaluru"/>
    <s v="Education"/>
    <s v="Direct"/>
    <x v="3"/>
    <s v="Phones"/>
    <x v="440"/>
    <n v="382.21"/>
    <n v="571.89"/>
    <n v="0.14799999999999999"/>
    <n v="26"/>
    <x v="441"/>
    <n v="9937.4599999999991"/>
    <n v="2731.0472800000007"/>
    <n v="0.2155776698578809"/>
    <x v="0"/>
  </r>
  <r>
    <s v="ORD-2023-842820"/>
    <d v="2023-09-20T00:00:00"/>
    <d v="2023-09-28T00:00:00"/>
    <n v="8"/>
    <x v="1"/>
    <x v="4"/>
    <s v="Unknown"/>
    <s v="Corporate"/>
    <s v="Unknown"/>
    <x v="5"/>
    <s v="Accessories"/>
    <x v="441"/>
    <n v="1362.06"/>
    <n v="3398.37"/>
    <n v="0.157"/>
    <n v="11"/>
    <x v="442"/>
    <n v="14982.66"/>
    <n v="16530.425009999999"/>
    <n v="0.52455749745714919"/>
    <x v="27"/>
  </r>
  <r>
    <s v="ORD-2024-745424"/>
    <d v="2024-08-22T00:00:00"/>
    <d v="2024-09-04T00:00:00"/>
    <n v="13"/>
    <x v="3"/>
    <x v="6"/>
    <s v="Frankfurt"/>
    <s v="Non-Profit"/>
    <s v="Retail"/>
    <x v="4"/>
    <s v="Printers"/>
    <x v="442"/>
    <n v="90.04"/>
    <n v="194.62"/>
    <n v="4.2999999999999997E-2"/>
    <n v="32"/>
    <x v="443"/>
    <n v="2881.28"/>
    <n v="3078.7628799999998"/>
    <n v="0.51656723650954672"/>
    <x v="21"/>
  </r>
  <r>
    <s v="ORD-2024-510520"/>
    <d v="2024-09-25T00:00:00"/>
    <d v="2024-10-03T00:00:00"/>
    <n v="8"/>
    <x v="2"/>
    <x v="3"/>
    <s v="Toronto"/>
    <s v="Consumer"/>
    <s v="Online"/>
    <x v="6"/>
    <s v="Printers"/>
    <x v="443"/>
    <n v="558.19000000000005"/>
    <n v="1031.6400000000001"/>
    <n v="0"/>
    <n v="21"/>
    <x v="444"/>
    <n v="11721.990000000002"/>
    <n v="9942.4500000000007"/>
    <n v="0.45892947152107322"/>
    <x v="29"/>
  </r>
  <r>
    <s v="ORD-2023-769774"/>
    <d v="2023-06-13T00:00:00"/>
    <d v="2023-06-24T00:00:00"/>
    <n v="11"/>
    <x v="2"/>
    <x v="3"/>
    <s v="Toronto"/>
    <s v="Corporate"/>
    <s v="Online"/>
    <x v="0"/>
    <s v="Printers"/>
    <x v="444"/>
    <n v="247.07"/>
    <n v="495.19"/>
    <n v="2.8000000000000001E-2"/>
    <n v="4"/>
    <x v="445"/>
    <n v="988.28"/>
    <n v="937.01872000000003"/>
    <n v="0.48668744764968214"/>
    <x v="23"/>
  </r>
  <r>
    <s v="ORD-2023-580751"/>
    <d v="2023-12-24T00:00:00"/>
    <d v="2024-01-13T00:00:00"/>
    <n v="20"/>
    <x v="1"/>
    <x v="2"/>
    <s v="Nagoya"/>
    <s v="Education"/>
    <s v="Direct"/>
    <x v="5"/>
    <s v="Laptops"/>
    <x v="445"/>
    <n v="625.37"/>
    <n v="1319.04"/>
    <n v="7.3999999999999996E-2"/>
    <n v="8"/>
    <x v="446"/>
    <n v="5002.96"/>
    <n v="4768.4883199999995"/>
    <n v="0.48800220436513547"/>
    <x v="4"/>
  </r>
  <r>
    <s v="ORD-2025-473192"/>
    <d v="2025-03-30T00:00:00"/>
    <d v="2025-04-29T00:00:00"/>
    <n v="30"/>
    <x v="0"/>
    <x v="11"/>
    <s v="Durban"/>
    <s v="Consumer"/>
    <s v="Marketplace"/>
    <x v="1"/>
    <s v="Monitors"/>
    <x v="446"/>
    <n v="194.6"/>
    <n v="314.87"/>
    <n v="0.29299999999999998"/>
    <n v="25"/>
    <x v="447"/>
    <n v="4865"/>
    <n v="700.32725000000028"/>
    <n v="0.1258375686712763"/>
    <x v="3"/>
  </r>
  <r>
    <s v="ORD-2024-886939"/>
    <d v="2024-06-03T00:00:00"/>
    <d v="2024-06-24T00:00:00"/>
    <n v="21"/>
    <x v="2"/>
    <x v="3"/>
    <s v="Toronto"/>
    <s v="Small Business"/>
    <s v="Direct"/>
    <x v="3"/>
    <s v="Monitors"/>
    <x v="447"/>
    <n v="1205.5"/>
    <n v="2210.17"/>
    <n v="0.104"/>
    <n v="23"/>
    <x v="448"/>
    <n v="27726.5"/>
    <n v="17820.683360000003"/>
    <n v="0.39125763758314652"/>
    <x v="17"/>
  </r>
  <r>
    <s v="ORD-2024-566589"/>
    <d v="2024-06-11T00:00:00"/>
    <d v="2024-07-09T00:00:00"/>
    <n v="28"/>
    <x v="0"/>
    <x v="1"/>
    <s v="Port Harcourt"/>
    <s v="Corporate"/>
    <s v="Marketplace"/>
    <x v="2"/>
    <s v="Phones"/>
    <x v="448"/>
    <n v="895.54"/>
    <n v="1045"/>
    <n v="0.216"/>
    <n v="15"/>
    <x v="449"/>
    <n v="13433.099999999999"/>
    <n v="1143.8999999999978"/>
    <n v="9.3081730299775234E-2"/>
    <x v="17"/>
  </r>
  <r>
    <s v="ORD-2023-109927"/>
    <d v="2023-07-22T00:00:00"/>
    <d v="2023-07-21T00:00:00"/>
    <n v="1"/>
    <x v="1"/>
    <x v="4"/>
    <s v="Delhi"/>
    <s v="Small Business"/>
    <s v="Distributor"/>
    <x v="6"/>
    <s v="Printers"/>
    <x v="449"/>
    <n v="946.99"/>
    <n v="2132.19"/>
    <n v="0.16500000000000001"/>
    <n v="7"/>
    <x v="450"/>
    <n v="6628.93"/>
    <n v="5833.72055"/>
    <n v="0.46809629513362228"/>
    <x v="24"/>
  </r>
  <r>
    <s v="ORD-2023-780206"/>
    <d v="2023-01-19T00:00:00"/>
    <d v="2023-02-03T00:00:00"/>
    <n v="15"/>
    <x v="3"/>
    <x v="8"/>
    <s v="London"/>
    <s v="Enterprise"/>
    <s v="Distributor"/>
    <x v="3"/>
    <s v="Accessories"/>
    <x v="450"/>
    <n v="873.06"/>
    <n v="2101.5500000000002"/>
    <n v="6.6000000000000003E-2"/>
    <n v="10"/>
    <x v="451"/>
    <n v="8730.5999999999985"/>
    <n v="10897.877"/>
    <n v="0.55520746719167269"/>
    <x v="5"/>
  </r>
  <r>
    <s v="ORD-2024-851993"/>
    <d v="2024-05-01T00:00:00"/>
    <d v="2024-05-16T00:00:00"/>
    <n v="15"/>
    <x v="1"/>
    <x v="4"/>
    <s v="Bengaluru"/>
    <s v="Small Business"/>
    <s v="Retail"/>
    <x v="4"/>
    <s v="Components"/>
    <x v="451"/>
    <n v="901.19"/>
    <n v="2125.44"/>
    <n v="7.0999999999999994E-2"/>
    <n v="12"/>
    <x v="452"/>
    <n v="10814.28"/>
    <n v="12880.125119999999"/>
    <n v="0.54359352154100415"/>
    <x v="7"/>
  </r>
  <r>
    <s v="ORD-2025-417942"/>
    <d v="2025-06-09T00:00:00"/>
    <d v="2025-06-24T00:00:00"/>
    <n v="15"/>
    <x v="1"/>
    <x v="2"/>
    <s v="Nagoya"/>
    <s v="Corporate"/>
    <s v="Direct"/>
    <x v="5"/>
    <s v="Phones"/>
    <x v="452"/>
    <n v="400.39"/>
    <n v="712.75"/>
    <n v="0.115"/>
    <n v="19"/>
    <x v="453"/>
    <n v="7607.41"/>
    <n v="4377.4812500000007"/>
    <n v="0.36524997671547504"/>
    <x v="16"/>
  </r>
  <r>
    <s v="ORD-2023-172095"/>
    <d v="2023-05-24T00:00:00"/>
    <d v="2023-06-21T00:00:00"/>
    <n v="28"/>
    <x v="2"/>
    <x v="10"/>
    <s v="Austin"/>
    <s v="Small Business"/>
    <s v="Marketplace"/>
    <x v="3"/>
    <s v="Monitors"/>
    <x v="453"/>
    <n v="813.97"/>
    <n v="1568.83"/>
    <n v="1.7000000000000001E-2"/>
    <n v="15"/>
    <x v="454"/>
    <n v="12209.550000000001"/>
    <n v="10922.848349999995"/>
    <n v="0.4721883215364911"/>
    <x v="15"/>
  </r>
  <r>
    <s v="ORD-2024-257550"/>
    <d v="2024-12-27T00:00:00"/>
    <d v="2024-12-29T00:00:00"/>
    <n v="2"/>
    <x v="2"/>
    <x v="3"/>
    <s v="Vancouver"/>
    <s v="Enterprise"/>
    <s v="Marketplace"/>
    <x v="0"/>
    <s v="Accessories"/>
    <x v="454"/>
    <n v="1146.72"/>
    <n v="2074.34"/>
    <n v="0.111"/>
    <n v="8"/>
    <x v="455"/>
    <n v="9173.76"/>
    <n v="5578.9460800000015"/>
    <n v="0.37816425337472737"/>
    <x v="6"/>
  </r>
  <r>
    <s v="ORD-2023-581799"/>
    <d v="2023-12-05T00:00:00"/>
    <d v="2023-12-12T00:00:00"/>
    <n v="7"/>
    <x v="2"/>
    <x v="5"/>
    <s v="Brasília"/>
    <s v="Corporate"/>
    <s v="Direct"/>
    <x v="9"/>
    <s v="Phones"/>
    <x v="455"/>
    <n v="307.43"/>
    <n v="495.19"/>
    <n v="0"/>
    <n v="42"/>
    <x v="456"/>
    <n v="12912.06"/>
    <n v="7885.92"/>
    <n v="0.37916759223732305"/>
    <x v="4"/>
  </r>
  <r>
    <s v="ORD-2023-880296"/>
    <d v="2023-05-02T00:00:00"/>
    <d v="2023-05-19T00:00:00"/>
    <n v="17"/>
    <x v="1"/>
    <x v="9"/>
    <s v="Shanghai"/>
    <s v="Non-Profit"/>
    <s v="Direct"/>
    <x v="1"/>
    <s v="Monitors"/>
    <x v="456"/>
    <n v="714.28"/>
    <n v="757.59"/>
    <n v="0.13600000000000001"/>
    <n v="12"/>
    <x v="457"/>
    <n v="8571.36"/>
    <n v="716.66688000000067"/>
    <n v="9.1240595787910383E-2"/>
    <x v="15"/>
  </r>
  <r>
    <s v="ORD-2023-191563"/>
    <d v="2023-11-30T00:00:00"/>
    <d v="2023-12-10T00:00:00"/>
    <n v="10"/>
    <x v="3"/>
    <x v="6"/>
    <s v="Munich"/>
    <s v="Small Business"/>
    <s v="Direct"/>
    <x v="9"/>
    <s v="Laptops"/>
    <x v="457"/>
    <n v="174.74"/>
    <n v="415.96"/>
    <n v="0.125"/>
    <n v="21"/>
    <x v="458"/>
    <n v="3669.54"/>
    <n v="3973.7249999999995"/>
    <n v="0.51989889137691803"/>
    <x v="30"/>
  </r>
  <r>
    <s v="ORD-2024-202166"/>
    <d v="2024-05-05T00:00:00"/>
    <d v="2024-05-18T00:00:00"/>
    <n v="13"/>
    <x v="3"/>
    <x v="7"/>
    <s v="Marseille"/>
    <s v="Corporate"/>
    <s v="Marketplace"/>
    <x v="8"/>
    <s v="Components"/>
    <x v="458"/>
    <n v="1264.04"/>
    <n v="1870.89"/>
    <n v="0"/>
    <n v="13"/>
    <x v="459"/>
    <n v="16432.52"/>
    <n v="7889.0499999999993"/>
    <n v="0.32436433996653996"/>
    <x v="7"/>
  </r>
  <r>
    <s v="ORD-2023-539967"/>
    <d v="2023-07-09T00:00:00"/>
    <d v="2023-07-19T00:00:00"/>
    <n v="10"/>
    <x v="1"/>
    <x v="2"/>
    <s v="Tokyo"/>
    <s v="Enterprise"/>
    <s v="Distributor"/>
    <x v="13"/>
    <s v="Components"/>
    <x v="459"/>
    <n v="141.26"/>
    <n v="206.88"/>
    <n v="0.107"/>
    <n v="9"/>
    <x v="460"/>
    <n v="1271.3399999999999"/>
    <n v="391.35456000000022"/>
    <n v="0.23537369365062469"/>
    <x v="24"/>
  </r>
  <r>
    <s v="ORD-2023-704111"/>
    <d v="2023-05-17T00:00:00"/>
    <d v="2023-06-15T00:00:00"/>
    <n v="29"/>
    <x v="0"/>
    <x v="11"/>
    <s v="Durban"/>
    <s v="Enterprise"/>
    <s v="Retail"/>
    <x v="11"/>
    <s v="Accessories"/>
    <x v="460"/>
    <n v="40.89"/>
    <n v="62.82"/>
    <n v="0.129"/>
    <n v="17"/>
    <x v="461"/>
    <n v="695.13"/>
    <n v="235.04574000000002"/>
    <n v="0.25268960465470752"/>
    <x v="15"/>
  </r>
  <r>
    <s v="ORD-2024-356812"/>
    <d v="2024-03-07T00:00:00"/>
    <d v="2024-04-03T00:00:00"/>
    <n v="27"/>
    <x v="3"/>
    <x v="6"/>
    <s v="Frankfurt"/>
    <s v="Corporate"/>
    <s v="Direct"/>
    <x v="12"/>
    <s v="Printers"/>
    <x v="461"/>
    <n v="738.16"/>
    <n v="956.49"/>
    <n v="0.152"/>
    <n v="5"/>
    <x v="462"/>
    <n v="3690.7999999999997"/>
    <n v="364.71759999999995"/>
    <n v="8.9931208780847108E-2"/>
    <x v="0"/>
  </r>
  <r>
    <s v="ORD-2025-306251"/>
    <d v="2025-04-10T00:00:00"/>
    <d v="2025-04-19T00:00:00"/>
    <n v="9"/>
    <x v="0"/>
    <x v="11"/>
    <s v="Durban"/>
    <s v="Enterprise"/>
    <s v="Uknown"/>
    <x v="3"/>
    <s v="Networking"/>
    <x v="462"/>
    <n v="113.74"/>
    <n v="165.7"/>
    <n v="0.124"/>
    <n v="13"/>
    <x v="463"/>
    <n v="1478.62"/>
    <n v="408.37159999999994"/>
    <n v="0.21641410592394794"/>
    <x v="19"/>
  </r>
  <r>
    <s v="ORD-2025-496178"/>
    <d v="2025-07-27T00:00:00"/>
    <d v="2025-08-15T00:00:00"/>
    <n v="19"/>
    <x v="1"/>
    <x v="2"/>
    <s v="Tokyo"/>
    <s v="Small Business"/>
    <s v="Marketplace"/>
    <x v="1"/>
    <s v="Components"/>
    <x v="463"/>
    <n v="275.43"/>
    <n v="608.36"/>
    <n v="0.25700000000000001"/>
    <n v="4"/>
    <x v="464"/>
    <n v="1101.72"/>
    <n v="706.32592"/>
    <n v="0.39065706915231446"/>
    <x v="13"/>
  </r>
  <r>
    <s v="ORD-2024-508213"/>
    <d v="2024-11-22T00:00:00"/>
    <d v="2024-12-15T00:00:00"/>
    <n v="23"/>
    <x v="0"/>
    <x v="0"/>
    <s v="Mombasa"/>
    <s v="Non-Profit"/>
    <s v="Distributor"/>
    <x v="0"/>
    <s v="Components"/>
    <x v="464"/>
    <n v="1335.76"/>
    <n v="2665.91"/>
    <n v="0.21099999999999999"/>
    <n v="40"/>
    <x v="465"/>
    <n v="53430.400000000001"/>
    <n v="30705.719600000004"/>
    <n v="0.36495288522909253"/>
    <x v="18"/>
  </r>
  <r>
    <s v="ORD-2024-787018"/>
    <d v="2024-06-23T00:00:00"/>
    <d v="2024-06-28T00:00:00"/>
    <n v="5"/>
    <x v="0"/>
    <x v="1"/>
    <s v="Port Harcourt"/>
    <s v="Non-Profit"/>
    <s v="Direct"/>
    <x v="12"/>
    <s v="Accessories"/>
    <x v="465"/>
    <n v="242.31"/>
    <n v="587.95000000000005"/>
    <n v="0.22900000000000001"/>
    <n v="6"/>
    <x v="466"/>
    <n v="1453.8600000000001"/>
    <n v="1265.9967000000001"/>
    <n v="0.46546448568411714"/>
    <x v="17"/>
  </r>
  <r>
    <s v="ORD-2023-728177"/>
    <d v="2023-12-18T00:00:00"/>
    <d v="2024-01-14T00:00:00"/>
    <n v="27"/>
    <x v="1"/>
    <x v="4"/>
    <s v="Mumbai"/>
    <s v="Consumer"/>
    <s v="Distributor"/>
    <x v="14"/>
    <s v="Networking"/>
    <x v="466"/>
    <n v="1408.3"/>
    <n v="2193.13"/>
    <n v="7.0999999999999994E-2"/>
    <n v="7"/>
    <x v="467"/>
    <n v="9858.1"/>
    <n v="4403.8243899999998"/>
    <n v="0.30878191957656281"/>
    <x v="4"/>
  </r>
  <r>
    <s v="ORD-2025-795385"/>
    <d v="2025-06-01T00:00:00"/>
    <d v="2025-06-05T00:00:00"/>
    <n v="4"/>
    <x v="3"/>
    <x v="6"/>
    <s v="Munich"/>
    <s v="Enterprise"/>
    <s v="Direct"/>
    <x v="12"/>
    <s v="Components"/>
    <x v="467"/>
    <n v="1171.42"/>
    <n v="2187.8000000000002"/>
    <n v="0.23"/>
    <n v="15"/>
    <x v="468"/>
    <n v="17571.300000000003"/>
    <n v="7697.7899999999972"/>
    <n v="0.30463265594447592"/>
    <x v="16"/>
  </r>
  <r>
    <s v="ORD-2025-947929"/>
    <d v="2025-03-23T00:00:00"/>
    <d v="2025-04-02T00:00:00"/>
    <n v="10"/>
    <x v="3"/>
    <x v="6"/>
    <s v="Berlin"/>
    <s v="Enterprise"/>
    <s v="Online"/>
    <x v="6"/>
    <s v="Printers"/>
    <x v="468"/>
    <n v="663.61"/>
    <n v="1002.11"/>
    <n v="4.5999999999999999E-2"/>
    <n v="17"/>
    <x v="469"/>
    <n v="11281.37"/>
    <n v="4970.8499799999972"/>
    <n v="0.30585667595670812"/>
    <x v="3"/>
  </r>
  <r>
    <s v="ORD-2023-931633"/>
    <d v="2023-05-14T00:00:00"/>
    <d v="2023-05-22T00:00:00"/>
    <n v="8"/>
    <x v="0"/>
    <x v="0"/>
    <s v="Mombasa"/>
    <s v="Small Business"/>
    <s v="Distributor"/>
    <x v="9"/>
    <s v="Printers"/>
    <x v="469"/>
    <n v="432.01"/>
    <n v="913.78"/>
    <n v="4.9000000000000002E-2"/>
    <n v="12"/>
    <x v="470"/>
    <n v="5184.12"/>
    <n v="5243.9373600000008"/>
    <n v="0.50286809699711899"/>
    <x v="15"/>
  </r>
  <r>
    <s v="ORD-2023-243704"/>
    <d v="2023-08-29T00:00:00"/>
    <d v="2023-09-19T00:00:00"/>
    <n v="21"/>
    <x v="3"/>
    <x v="7"/>
    <s v="Lyon"/>
    <s v="Small Business"/>
    <s v="Direct"/>
    <x v="5"/>
    <s v="Printers"/>
    <x v="470"/>
    <n v="784.46"/>
    <n v="1843.51"/>
    <n v="0.13800000000000001"/>
    <n v="23"/>
    <x v="471"/>
    <n v="18042.580000000002"/>
    <n v="18506.849260000003"/>
    <n v="0.50635125184441798"/>
    <x v="25"/>
  </r>
  <r>
    <s v="ORD-2025-779659"/>
    <d v="2025-07-03T00:00:00"/>
    <d v="2025-07-23T00:00:00"/>
    <n v="20"/>
    <x v="1"/>
    <x v="9"/>
    <s v="Beijing"/>
    <s v="Small Business"/>
    <s v="Online"/>
    <x v="12"/>
    <s v="Components"/>
    <x v="471"/>
    <n v="647.36"/>
    <n v="1383.6"/>
    <n v="7.3999999999999996E-2"/>
    <n v="12"/>
    <x v="472"/>
    <n v="7768.32"/>
    <n v="7606.243199999999"/>
    <n v="0.49472906000997802"/>
    <x v="13"/>
  </r>
  <r>
    <s v="ORD-2024-647571"/>
    <d v="2024-02-06T00:00:00"/>
    <d v="2024-02-28T00:00:00"/>
    <n v="22"/>
    <x v="0"/>
    <x v="0"/>
    <s v="Kisumu"/>
    <s v="Non-Profit"/>
    <s v="Online"/>
    <x v="11"/>
    <s v="Monitors"/>
    <x v="472"/>
    <n v="834.93"/>
    <n v="1588.53"/>
    <n v="0.126"/>
    <n v="6"/>
    <x v="473"/>
    <n v="5009.58"/>
    <n v="3320.6713199999995"/>
    <n v="0.39862798761274343"/>
    <x v="31"/>
  </r>
  <r>
    <s v="ORD-2025-683043"/>
    <d v="2025-08-13T00:00:00"/>
    <d v="2025-09-03T00:00:00"/>
    <n v="21"/>
    <x v="3"/>
    <x v="7"/>
    <s v="Paris"/>
    <s v="Education"/>
    <s v="Retail"/>
    <x v="2"/>
    <s v="Phones"/>
    <x v="473"/>
    <n v="603.47"/>
    <n v="1344.05"/>
    <n v="0.20499999999999999"/>
    <n v="18"/>
    <x v="474"/>
    <n v="10862.460000000001"/>
    <n v="8370.8954999999969"/>
    <n v="0.43522803392262976"/>
    <x v="28"/>
  </r>
  <r>
    <s v="ORD-2023-588455"/>
    <d v="2023-05-23T00:00:00"/>
    <d v="2023-05-25T00:00:00"/>
    <n v="2"/>
    <x v="2"/>
    <x v="5"/>
    <s v="Rio de Janeiro"/>
    <s v="Enterprise"/>
    <s v="Retail"/>
    <x v="12"/>
    <s v="Printers"/>
    <x v="474"/>
    <n v="690.49"/>
    <n v="1290.29"/>
    <n v="4.2000000000000003E-2"/>
    <n v="22"/>
    <x v="475"/>
    <n v="15190.78"/>
    <n v="12003.372039999997"/>
    <n v="0.44139534199647718"/>
    <x v="15"/>
  </r>
  <r>
    <s v="ORD-2024-641220"/>
    <d v="2024-05-10T00:00:00"/>
    <d v="2024-05-16T00:00:00"/>
    <n v="6"/>
    <x v="3"/>
    <x v="8"/>
    <s v="Birmingham"/>
    <s v="Non-Profit"/>
    <s v="Direct"/>
    <x v="3"/>
    <s v="Laptops"/>
    <x v="475"/>
    <n v="210.76"/>
    <n v="221.58"/>
    <n v="8.8999999999999996E-2"/>
    <n v="5"/>
    <x v="476"/>
    <n v="1053.8"/>
    <n v="44.50309999999979"/>
    <n v="4.4093170205912434E-2"/>
    <x v="7"/>
  </r>
  <r>
    <s v="ORD-2023-799597"/>
    <d v="2023-03-14T00:00:00"/>
    <d v="2023-03-18T00:00:00"/>
    <n v="4"/>
    <x v="3"/>
    <x v="6"/>
    <s v="Frankfurt"/>
    <s v="Enterprise"/>
    <s v="Direct"/>
    <x v="8"/>
    <s v="Components"/>
    <x v="476"/>
    <n v="472.33"/>
    <n v="360.34"/>
    <n v="0.16500000000000001"/>
    <n v="14"/>
    <x v="477"/>
    <n v="6612.62"/>
    <n v="2400.2454000000007"/>
    <n v="0.56980815523861561"/>
    <x v="22"/>
  </r>
  <r>
    <s v="ORD-2023-569862"/>
    <d v="2023-07-16T00:00:00"/>
    <d v="2023-08-13T00:00:00"/>
    <n v="28"/>
    <x v="3"/>
    <x v="8"/>
    <s v="Manchester"/>
    <s v="Non-Profit"/>
    <s v="Online"/>
    <x v="1"/>
    <s v="Laptops"/>
    <x v="477"/>
    <n v="1039.03"/>
    <n v="2545.81"/>
    <n v="0.216"/>
    <n v="21"/>
    <x v="478"/>
    <n v="21819.63"/>
    <n v="20094.585840000003"/>
    <n v="0.47942172929364774"/>
    <x v="24"/>
  </r>
  <r>
    <s v="ORD-2023-609394"/>
    <d v="2023-04-16T00:00:00"/>
    <d v="2023-04-19T00:00:00"/>
    <n v="3"/>
    <x v="3"/>
    <x v="6"/>
    <s v="Munich"/>
    <s v="Corporate"/>
    <s v="Direct"/>
    <x v="5"/>
    <s v="Accessories"/>
    <x v="478"/>
    <n v="553.61"/>
    <n v="699.47"/>
    <n v="0.02"/>
    <n v="33"/>
    <x v="479"/>
    <n v="18269.13"/>
    <n v="4351.729800000001"/>
    <n v="0.19237685209472014"/>
    <x v="12"/>
  </r>
  <r>
    <s v="ORD-2024-105586"/>
    <d v="2024-01-02T00:00:00"/>
    <d v="2024-01-15T00:00:00"/>
    <n v="13"/>
    <x v="1"/>
    <x v="2"/>
    <s v="Nagoya"/>
    <s v="Small Business"/>
    <s v="Marketplace"/>
    <x v="3"/>
    <s v="Networking"/>
    <x v="479"/>
    <n v="1219.06"/>
    <n v="2738.69"/>
    <n v="7.5999999999999998E-2"/>
    <n v="16"/>
    <x v="480"/>
    <n v="19504.96"/>
    <n v="20983.832960000007"/>
    <n v="0.51826274447673737"/>
    <x v="9"/>
  </r>
  <r>
    <s v="ORD-2024-207792"/>
    <d v="2024-09-03T00:00:00"/>
    <d v="2024-09-07T00:00:00"/>
    <n v="4"/>
    <x v="1"/>
    <x v="2"/>
    <s v="Tokyo"/>
    <s v="Small Business"/>
    <s v="Distributor"/>
    <x v="13"/>
    <s v="Printers"/>
    <x v="480"/>
    <n v="43.23"/>
    <n v="94.78"/>
    <n v="9.0999999999999998E-2"/>
    <n v="55"/>
    <x v="481"/>
    <n v="2377.6499999999996"/>
    <n v="2360.8761000000004"/>
    <n v="0.49823005090127082"/>
    <x v="29"/>
  </r>
  <r>
    <s v="ORD-2025-417336"/>
    <d v="2025-08-30T00:00:00"/>
    <d v="2025-09-03T00:00:00"/>
    <n v="4"/>
    <x v="3"/>
    <x v="7"/>
    <s v="Marseille"/>
    <s v="Small Business"/>
    <s v="Marketplace"/>
    <x v="1"/>
    <s v="Laptops"/>
    <x v="481"/>
    <n v="1286.56"/>
    <n v="2777.35"/>
    <n v="0.13200000000000001"/>
    <n v="15"/>
    <x v="482"/>
    <n v="19298.399999999998"/>
    <n v="16862.697000000004"/>
    <n v="0.46632150014696744"/>
    <x v="28"/>
  </r>
  <r>
    <s v="ORD-2025-252117"/>
    <d v="2025-04-28T00:00:00"/>
    <d v="2025-05-19T00:00:00"/>
    <n v="21"/>
    <x v="3"/>
    <x v="6"/>
    <s v="Berlin"/>
    <s v="Corporate"/>
    <s v="Distributor"/>
    <x v="5"/>
    <s v="Phones"/>
    <x v="482"/>
    <n v="350.76"/>
    <n v="492.18"/>
    <n v="5.2999999999999999E-2"/>
    <n v="11"/>
    <x v="483"/>
    <n v="3858.3599999999997"/>
    <n v="1268.6790600000004"/>
    <n v="0.24744868239798437"/>
    <x v="19"/>
  </r>
  <r>
    <s v="ORD-2023-867175"/>
    <d v="2023-08-10T00:00:00"/>
    <d v="2023-08-15T00:00:00"/>
    <n v="5"/>
    <x v="2"/>
    <x v="5"/>
    <s v="São Paulo"/>
    <s v="Education"/>
    <s v="Direct"/>
    <x v="3"/>
    <s v="Networking"/>
    <x v="483"/>
    <n v="1307.52"/>
    <n v="1921.65"/>
    <n v="0.123"/>
    <n v="13"/>
    <x v="484"/>
    <n v="16997.759999999998"/>
    <n v="4910.9716500000031"/>
    <n v="0.22415590863289445"/>
    <x v="25"/>
  </r>
  <r>
    <s v="ORD-2024-382152"/>
    <d v="2024-12-08T00:00:00"/>
    <d v="2024-12-08T00:00:00"/>
    <n v="0"/>
    <x v="3"/>
    <x v="7"/>
    <s v="Lyon"/>
    <s v="Enterprise"/>
    <s v="Retail"/>
    <x v="10"/>
    <s v="Components"/>
    <x v="484"/>
    <n v="257.44"/>
    <n v="290.33"/>
    <n v="9.1999999999999998E-2"/>
    <n v="23"/>
    <x v="485"/>
    <n v="5921.12"/>
    <n v="142.1317199999994"/>
    <n v="2.3441500792581216E-2"/>
    <x v="6"/>
  </r>
  <r>
    <s v="ORD-2023-597666"/>
    <d v="2023-10-25T00:00:00"/>
    <d v="2023-11-24T00:00:00"/>
    <n v="30"/>
    <x v="3"/>
    <x v="7"/>
    <s v="Paris"/>
    <s v="Enterprise"/>
    <s v="Distributor"/>
    <x v="0"/>
    <s v="Phones"/>
    <x v="485"/>
    <n v="287.85000000000002"/>
    <n v="602.91999999999996"/>
    <n v="0.222"/>
    <n v="11"/>
    <x v="486"/>
    <n v="3166.3500000000004"/>
    <n v="1993.4393599999994"/>
    <n v="0.38634122847216373"/>
    <x v="32"/>
  </r>
  <r>
    <s v="ORD-2024-371409"/>
    <d v="2024-11-17T00:00:00"/>
    <d v="2024-11-28T00:00:00"/>
    <n v="11"/>
    <x v="2"/>
    <x v="3"/>
    <s v="Unknown"/>
    <s v="Consumer"/>
    <s v="Distributor"/>
    <x v="8"/>
    <s v="Printers"/>
    <x v="486"/>
    <n v="1008.16"/>
    <n v="2077.5"/>
    <n v="7.3999999999999996E-2"/>
    <n v="15"/>
    <x v="487"/>
    <n v="15122.4"/>
    <n v="13734.075000000003"/>
    <n v="0.47594430712691005"/>
    <x v="18"/>
  </r>
  <r>
    <s v="ORD-2024-973420"/>
    <d v="2024-05-12T00:00:00"/>
    <d v="2024-05-24T00:00:00"/>
    <n v="12"/>
    <x v="3"/>
    <x v="8"/>
    <s v="Manchester"/>
    <s v="Education"/>
    <s v="Marketplace"/>
    <x v="11"/>
    <s v="Printers"/>
    <x v="487"/>
    <n v="111.02"/>
    <n v="172.88"/>
    <n v="0.19700000000000001"/>
    <n v="29"/>
    <x v="488"/>
    <n v="3219.58"/>
    <n v="806.27655999999934"/>
    <n v="0.20027453735212053"/>
    <x v="7"/>
  </r>
  <r>
    <s v="ORD-2025-254721"/>
    <d v="2025-05-15T00:00:00"/>
    <d v="2025-06-05T00:00:00"/>
    <n v="21"/>
    <x v="1"/>
    <x v="2"/>
    <s v="Osaka"/>
    <s v="Enterprise"/>
    <s v="Direct"/>
    <x v="10"/>
    <s v="Phones"/>
    <x v="488"/>
    <n v="1466.5"/>
    <n v="2778.74"/>
    <n v="0.13500000000000001"/>
    <n v="4"/>
    <x v="489"/>
    <n v="5866"/>
    <n v="3748.4403999999995"/>
    <n v="0.38987608680792279"/>
    <x v="8"/>
  </r>
  <r>
    <s v="ORD-2024-247032"/>
    <d v="2024-04-21T00:00:00"/>
    <d v="2024-05-19T00:00:00"/>
    <n v="28"/>
    <x v="0"/>
    <x v="1"/>
    <s v="Lagos"/>
    <s v="Corporate"/>
    <s v="Distributor"/>
    <x v="8"/>
    <s v="Accessories"/>
    <x v="489"/>
    <n v="187.22"/>
    <n v="309.47000000000003"/>
    <n v="0"/>
    <n v="5"/>
    <x v="490"/>
    <n v="936.1"/>
    <n v="611.25000000000011"/>
    <n v="0.39503021294471197"/>
    <x v="20"/>
  </r>
  <r>
    <s v="ORD-2024-792353"/>
    <d v="2024-08-19T00:00:00"/>
    <d v="2024-09-07T00:00:00"/>
    <n v="19"/>
    <x v="3"/>
    <x v="7"/>
    <s v="Lyon"/>
    <s v="Corporate"/>
    <s v="Direct"/>
    <x v="1"/>
    <s v="Components"/>
    <x v="490"/>
    <n v="297.58999999999997"/>
    <n v="666.41"/>
    <n v="0"/>
    <n v="10"/>
    <x v="491"/>
    <n v="2975.8999999999996"/>
    <n v="3688.2"/>
    <n v="0.55344307558409989"/>
    <x v="21"/>
  </r>
  <r>
    <s v="ORD-2025-703623"/>
    <d v="2025-07-23T00:00:00"/>
    <d v="2025-08-19T00:00:00"/>
    <n v="27"/>
    <x v="1"/>
    <x v="2"/>
    <s v="Nagoya"/>
    <s v="Consumer"/>
    <s v="Marketplace"/>
    <x v="5"/>
    <s v="Accessories"/>
    <x v="491"/>
    <n v="896.09"/>
    <n v="744.27"/>
    <n v="8.3000000000000004E-2"/>
    <n v="11"/>
    <x v="492"/>
    <n v="9856.99"/>
    <n v="2349.5385100000003"/>
    <n v="0.31296086469950679"/>
    <x v="13"/>
  </r>
  <r>
    <s v="ORD-2024-516704"/>
    <d v="2024-03-01T00:00:00"/>
    <d v="2024-02-29T00:00:00"/>
    <n v="1"/>
    <x v="2"/>
    <x v="5"/>
    <s v="São Paulo"/>
    <s v="Non-Profit"/>
    <s v="Direct"/>
    <x v="2"/>
    <s v="Phones"/>
    <x v="492"/>
    <n v="5.34"/>
    <n v="12.69"/>
    <n v="0.13200000000000001"/>
    <n v="10"/>
    <x v="493"/>
    <n v="53.4"/>
    <n v="56.749199999999995"/>
    <n v="0.51520301554618642"/>
    <x v="0"/>
  </r>
  <r>
    <s v="ORD-2024-578646"/>
    <d v="2024-05-27T00:00:00"/>
    <d v="2024-06-17T00:00:00"/>
    <n v="21"/>
    <x v="1"/>
    <x v="4"/>
    <s v="Delhi"/>
    <s v="Small Business"/>
    <s v="Online"/>
    <x v="10"/>
    <s v="Accessories"/>
    <x v="493"/>
    <n v="465.02"/>
    <n v="651.55999999999995"/>
    <n v="4.2000000000000003E-2"/>
    <n v="19"/>
    <x v="494"/>
    <n v="8835.3799999999992"/>
    <n v="3024.3151199999993"/>
    <n v="0.25500783025187918"/>
    <x v="7"/>
  </r>
  <r>
    <s v="ORD-2024-433936"/>
    <d v="2024-08-04T00:00:00"/>
    <d v="2024-08-17T00:00:00"/>
    <n v="13"/>
    <x v="2"/>
    <x v="10"/>
    <s v="Austin"/>
    <s v="Consumer"/>
    <s v="Retail"/>
    <x v="14"/>
    <s v="Monitors"/>
    <x v="494"/>
    <n v="352.79"/>
    <n v="754.22"/>
    <n v="0.113"/>
    <n v="7"/>
    <x v="495"/>
    <n v="2469.5300000000002"/>
    <n v="2213.4219799999996"/>
    <n v="0.47265528014233443"/>
    <x v="21"/>
  </r>
  <r>
    <s v="ORD-2023-434071"/>
    <d v="2023-06-20T00:00:00"/>
    <d v="2023-07-04T00:00:00"/>
    <n v="14"/>
    <x v="2"/>
    <x v="5"/>
    <s v="Brasília"/>
    <s v="Non-Profit"/>
    <s v="Direct"/>
    <x v="0"/>
    <s v="Networking"/>
    <x v="495"/>
    <n v="1292.8599999999999"/>
    <n v="2981.01"/>
    <n v="0.14199999999999999"/>
    <n v="12"/>
    <x v="496"/>
    <n v="15514.32"/>
    <n v="15178.158960000001"/>
    <n v="0.49452372288927687"/>
    <x v="23"/>
  </r>
  <r>
    <s v="ORD-2024-728474"/>
    <d v="2024-09-09T00:00:00"/>
    <d v="2024-09-13T00:00:00"/>
    <n v="4"/>
    <x v="3"/>
    <x v="8"/>
    <s v="London"/>
    <s v="Consumer"/>
    <s v="Marketplace"/>
    <x v="9"/>
    <s v="Networking"/>
    <x v="496"/>
    <n v="1133.08"/>
    <n v="976.17"/>
    <n v="4.2000000000000003E-2"/>
    <n v="27"/>
    <x v="497"/>
    <n v="30593.159999999996"/>
    <n v="5343.5467799999969"/>
    <n v="0.21162885678452373"/>
    <x v="29"/>
  </r>
  <r>
    <s v="ORD-2023-406606"/>
    <d v="2023-10-25T00:00:00"/>
    <d v="2023-10-28T00:00:00"/>
    <n v="3"/>
    <x v="2"/>
    <x v="5"/>
    <s v="Brasília"/>
    <s v="Corporate"/>
    <s v="Distributor"/>
    <x v="4"/>
    <s v="Accessories"/>
    <x v="497"/>
    <n v="509.31"/>
    <n v="1145.9000000000001"/>
    <n v="5.7000000000000002E-2"/>
    <n v="8"/>
    <x v="498"/>
    <n v="4074.48"/>
    <n v="4570.1896000000015"/>
    <n v="0.52867140231709964"/>
    <x v="32"/>
  </r>
  <r>
    <s v="ORD-2025-823055"/>
    <d v="2025-09-08T00:00:00"/>
    <d v="2025-10-05T00:00:00"/>
    <n v="27"/>
    <x v="2"/>
    <x v="5"/>
    <s v="Rio de Janeiro"/>
    <s v="Education"/>
    <s v="Online"/>
    <x v="0"/>
    <s v="Monitors"/>
    <x v="498"/>
    <n v="660.78"/>
    <n v="1630.39"/>
    <n v="0.218"/>
    <n v="13"/>
    <x v="499"/>
    <n v="8590.14"/>
    <n v="7984.4047400000018"/>
    <n v="0.48172694123724097"/>
    <x v="11"/>
  </r>
  <r>
    <s v="ORD-2023-573656"/>
    <d v="2023-05-02T00:00:00"/>
    <d v="2023-05-16T00:00:00"/>
    <n v="14"/>
    <x v="1"/>
    <x v="4"/>
    <s v="Bengaluru"/>
    <s v="Non-Profit"/>
    <s v="Retail"/>
    <x v="4"/>
    <s v="Monitors"/>
    <x v="499"/>
    <n v="475.37"/>
    <n v="963.73"/>
    <n v="4.1000000000000002E-2"/>
    <n v="22"/>
    <x v="500"/>
    <n v="10458.14"/>
    <n v="9874.6355399999993"/>
    <n v="0.48565113604750881"/>
    <x v="15"/>
  </r>
  <r>
    <s v="ORD-2024-567435"/>
    <d v="2024-04-26T00:00:00"/>
    <d v="2024-04-24T00:00:00"/>
    <n v="2"/>
    <x v="3"/>
    <x v="8"/>
    <s v="London"/>
    <s v="Non-Profit"/>
    <s v="Distributor"/>
    <x v="13"/>
    <s v="Phones"/>
    <x v="500"/>
    <n v="1232.77"/>
    <n v="891.73"/>
    <n v="0.16700000000000001"/>
    <n v="10"/>
    <x v="501"/>
    <n v="12327.7"/>
    <n v="4899.589100000002"/>
    <n v="0.65960096260813805"/>
    <x v="20"/>
  </r>
  <r>
    <s v="ORD-2023-744942"/>
    <d v="2023-02-23T00:00:00"/>
    <d v="2023-03-18T00:00:00"/>
    <n v="23"/>
    <x v="1"/>
    <x v="9"/>
    <s v="Beijing"/>
    <s v="Education"/>
    <s v="Distributor"/>
    <x v="11"/>
    <s v="Printers"/>
    <x v="501"/>
    <n v="770.11"/>
    <n v="1667.82"/>
    <n v="6.9000000000000006E-2"/>
    <n v="7"/>
    <x v="502"/>
    <n v="5390.77"/>
    <n v="5478.4129400000002"/>
    <n v="0.50403171703355287"/>
    <x v="2"/>
  </r>
  <r>
    <s v="ORD-2025-331237"/>
    <d v="2025-03-24T00:00:00"/>
    <d v="2025-03-25T00:00:00"/>
    <n v="1"/>
    <x v="1"/>
    <x v="9"/>
    <s v="Beijing"/>
    <s v="Non-Profit"/>
    <s v="Online"/>
    <x v="3"/>
    <s v="Networking"/>
    <x v="502"/>
    <n v="1133.03"/>
    <n v="1921.51"/>
    <n v="0.10100000000000001"/>
    <n v="5"/>
    <x v="503"/>
    <n v="5665.15"/>
    <n v="2972.0374499999998"/>
    <n v="0.3440978289755654"/>
    <x v="3"/>
  </r>
  <r>
    <s v="ORD-2025-680118"/>
    <d v="2025-03-10T00:00:00"/>
    <d v="2025-03-27T00:00:00"/>
    <n v="17"/>
    <x v="2"/>
    <x v="5"/>
    <s v="Rio de Janeiro"/>
    <s v="Enterprise"/>
    <s v="Direct"/>
    <x v="9"/>
    <s v="Networking"/>
    <x v="503"/>
    <n v="996.73"/>
    <n v="1217.43"/>
    <n v="7.0000000000000007E-2"/>
    <n v="9"/>
    <x v="504"/>
    <n v="8970.57"/>
    <n v="1219.3191000000006"/>
    <n v="0.11965970267527255"/>
    <x v="3"/>
  </r>
  <r>
    <s v="ORD-2024-310809"/>
    <d v="2024-04-05T00:00:00"/>
    <d v="2024-04-09T00:00:00"/>
    <n v="4"/>
    <x v="0"/>
    <x v="1"/>
    <s v="Lagos"/>
    <s v="Non-Profit"/>
    <s v="Direct"/>
    <x v="11"/>
    <s v="Components"/>
    <x v="504"/>
    <n v="395.07"/>
    <n v="970.27"/>
    <n v="0.123"/>
    <n v="38"/>
    <x v="505"/>
    <n v="15012.66"/>
    <n v="17322.55802"/>
    <n v="0.53571799049833657"/>
    <x v="20"/>
  </r>
  <r>
    <s v="ORD-2025-474368"/>
    <d v="2025-04-27T00:00:00"/>
    <d v="2025-05-17T00:00:00"/>
    <n v="20"/>
    <x v="2"/>
    <x v="10"/>
    <s v="Austin"/>
    <s v="Corporate"/>
    <s v="Direct"/>
    <x v="13"/>
    <s v="Phones"/>
    <x v="505"/>
    <n v="932.26"/>
    <n v="1624.67"/>
    <n v="0.23499999999999999"/>
    <n v="28"/>
    <x v="506"/>
    <n v="26103.279999999999"/>
    <n v="8697.1514000000025"/>
    <n v="0.24991504559337163"/>
    <x v="19"/>
  </r>
  <r>
    <s v="ORD-2024-732543"/>
    <d v="2024-10-24T00:00:00"/>
    <d v="2024-10-28T00:00:00"/>
    <n v="4"/>
    <x v="1"/>
    <x v="9"/>
    <s v="Shanghai"/>
    <s v="Small Business"/>
    <s v="Distributor"/>
    <x v="2"/>
    <s v="Networking"/>
    <x v="506"/>
    <n v="1331.77"/>
    <n v="2606.11"/>
    <n v="0.02"/>
    <n v="6"/>
    <x v="507"/>
    <n v="7990.62"/>
    <n v="7333.3067999999994"/>
    <n v="0.47855271665745619"/>
    <x v="1"/>
  </r>
  <r>
    <s v="ORD-2023-867166"/>
    <d v="2023-04-13T00:00:00"/>
    <d v="2023-04-20T00:00:00"/>
    <n v="7"/>
    <x v="3"/>
    <x v="7"/>
    <s v="Lyon"/>
    <s v="Small Business"/>
    <s v="Online"/>
    <x v="8"/>
    <s v="Laptops"/>
    <x v="507"/>
    <n v="227.02"/>
    <n v="434.72"/>
    <n v="9.8000000000000004E-2"/>
    <n v="10"/>
    <x v="508"/>
    <n v="2270.2000000000003"/>
    <n v="1650.9744000000005"/>
    <n v="0.42104079838938052"/>
    <x v="12"/>
  </r>
  <r>
    <s v="ORD-2024-776337"/>
    <d v="2024-11-12T00:00:00"/>
    <d v="2024-11-21T00:00:00"/>
    <n v="9"/>
    <x v="1"/>
    <x v="4"/>
    <s v="Mumbai"/>
    <s v="Corporate"/>
    <s v="Direct"/>
    <x v="10"/>
    <s v="Laptops"/>
    <x v="508"/>
    <n v="903.41"/>
    <n v="1860.41"/>
    <n v="0.108"/>
    <n v="5"/>
    <x v="509"/>
    <n v="4517.05"/>
    <n v="3780.3786000000009"/>
    <n v="0.455608451996803"/>
    <x v="18"/>
  </r>
  <r>
    <s v="ORD-2023-913592"/>
    <d v="2023-05-10T00:00:00"/>
    <d v="2023-05-14T00:00:00"/>
    <n v="4"/>
    <x v="1"/>
    <x v="4"/>
    <s v="Delhi"/>
    <s v="Non-Profit"/>
    <s v="Distributor"/>
    <x v="0"/>
    <s v="Monitors"/>
    <x v="509"/>
    <n v="622.6"/>
    <n v="833.69"/>
    <n v="0.20899999999999999"/>
    <n v="14"/>
    <x v="510"/>
    <n v="8716.4"/>
    <n v="515.88306000000011"/>
    <n v="5.5878167582959715E-2"/>
    <x v="15"/>
  </r>
  <r>
    <s v="ORD-2024-961501"/>
    <d v="2024-03-02T00:00:00"/>
    <d v="2024-03-23T00:00:00"/>
    <n v="21"/>
    <x v="2"/>
    <x v="10"/>
    <s v="Chicago"/>
    <s v="Small Business"/>
    <s v="Online"/>
    <x v="9"/>
    <s v="Components"/>
    <x v="510"/>
    <n v="225.01"/>
    <n v="333.48"/>
    <n v="0.11899999999999999"/>
    <n v="12"/>
    <x v="511"/>
    <n v="2700.12"/>
    <n v="825.43056000000024"/>
    <n v="0.23412813004729685"/>
    <x v="0"/>
  </r>
  <r>
    <s v="ORD-2024-964950"/>
    <d v="2024-10-10T00:00:00"/>
    <d v="2024-10-11T00:00:00"/>
    <n v="1"/>
    <x v="3"/>
    <x v="8"/>
    <s v="Manchester"/>
    <s v="Non-Profit"/>
    <s v="Distributor"/>
    <x v="4"/>
    <s v="Components"/>
    <x v="511"/>
    <n v="1389.46"/>
    <n v="1784.7"/>
    <n v="0.14599999999999999"/>
    <n v="33"/>
    <x v="512"/>
    <n v="45852.18"/>
    <n v="4444.2353999999978"/>
    <n v="8.8360877503011831E-2"/>
    <x v="1"/>
  </r>
  <r>
    <s v="ORD-2023-349264"/>
    <d v="2023-06-01T00:00:00"/>
    <d v="2023-06-08T00:00:00"/>
    <n v="7"/>
    <x v="3"/>
    <x v="6"/>
    <s v="Frankfurt"/>
    <s v="Consumer"/>
    <s v="Online"/>
    <x v="8"/>
    <s v="Phones"/>
    <x v="512"/>
    <n v="804.17"/>
    <n v="1072.29"/>
    <n v="3.2000000000000001E-2"/>
    <n v="5"/>
    <x v="513"/>
    <n v="4020.85"/>
    <n v="1169.0336000000002"/>
    <n v="0.2252523736755869"/>
    <x v="23"/>
  </r>
  <r>
    <s v="ORD-2025-137394"/>
    <d v="2025-01-04T00:00:00"/>
    <d v="2025-01-05T00:00:00"/>
    <n v="1"/>
    <x v="1"/>
    <x v="4"/>
    <s v="Delhi"/>
    <s v="Education"/>
    <s v="Retail"/>
    <x v="2"/>
    <s v="Components"/>
    <x v="513"/>
    <n v="1428.33"/>
    <n v="3028.05"/>
    <n v="0"/>
    <n v="11"/>
    <x v="514"/>
    <n v="15711.63"/>
    <n v="17596.920000000006"/>
    <n v="0.52830039134096207"/>
    <x v="10"/>
  </r>
  <r>
    <s v="ORD-2025-635337"/>
    <d v="2025-08-05T00:00:00"/>
    <d v="2025-08-28T00:00:00"/>
    <n v="23"/>
    <x v="1"/>
    <x v="4"/>
    <s v="Mumbai"/>
    <s v="Non-Profit"/>
    <s v="Distributor"/>
    <x v="13"/>
    <s v="Laptops"/>
    <x v="514"/>
    <n v="638.54"/>
    <n v="987.24"/>
    <n v="0"/>
    <n v="11"/>
    <x v="515"/>
    <n v="7023.94"/>
    <n v="3835.7"/>
    <n v="0.35320692030306716"/>
    <x v="28"/>
  </r>
  <r>
    <s v="ORD-2023-568013"/>
    <d v="2023-09-30T00:00:00"/>
    <d v="2023-10-30T00:00:00"/>
    <n v="30"/>
    <x v="1"/>
    <x v="2"/>
    <s v="Tokyo"/>
    <s v="Enterprise"/>
    <s v="Online"/>
    <x v="14"/>
    <s v="Printers"/>
    <x v="515"/>
    <n v="649.13"/>
    <n v="975.43"/>
    <n v="0.157"/>
    <n v="27"/>
    <x v="516"/>
    <n v="17526.509999999998"/>
    <n v="4675.2522299999982"/>
    <n v="0.21058023149543473"/>
    <x v="27"/>
  </r>
  <r>
    <s v="ORD-2025-828263"/>
    <d v="2025-05-17T00:00:00"/>
    <d v="2025-05-30T00:00:00"/>
    <n v="13"/>
    <x v="0"/>
    <x v="1"/>
    <s v="Lagos"/>
    <s v="Consumer"/>
    <s v="Distributor"/>
    <x v="9"/>
    <s v="Accessories"/>
    <x v="516"/>
    <n v="66.400000000000006"/>
    <n v="141.43"/>
    <n v="0.107"/>
    <n v="8"/>
    <x v="517"/>
    <n v="531.20000000000005"/>
    <n v="479.17592000000002"/>
    <n v="0.47425508715607551"/>
    <x v="8"/>
  </r>
  <r>
    <s v="ORD-2024-402240"/>
    <d v="2024-05-01T00:00:00"/>
    <d v="2024-05-26T00:00:00"/>
    <n v="25"/>
    <x v="3"/>
    <x v="6"/>
    <s v="Berlin"/>
    <s v="Non-Profit"/>
    <s v="Retail"/>
    <x v="5"/>
    <s v="Networking"/>
    <x v="517"/>
    <n v="930.71"/>
    <n v="1625.42"/>
    <n v="0.13800000000000001"/>
    <n v="7"/>
    <x v="518"/>
    <n v="6514.97"/>
    <n v="3292.8142799999996"/>
    <n v="0.33573477821231196"/>
    <x v="7"/>
  </r>
  <r>
    <s v="ORD-2023-125739"/>
    <d v="2023-05-01T00:00:00"/>
    <d v="2023-05-18T00:00:00"/>
    <n v="17"/>
    <x v="0"/>
    <x v="1"/>
    <s v="Port Harcourt"/>
    <s v="Corporate"/>
    <s v="Direct"/>
    <x v="9"/>
    <s v="Components"/>
    <x v="518"/>
    <n v="327.97"/>
    <n v="299.94"/>
    <n v="4.9000000000000002E-2"/>
    <n v="3"/>
    <x v="519"/>
    <n v="983.91000000000008"/>
    <n v="128.18118000000015"/>
    <n v="0.14979182306843442"/>
    <x v="15"/>
  </r>
  <r>
    <s v="ORD-2024-892879"/>
    <d v="2024-07-09T00:00:00"/>
    <d v="2024-08-08T00:00:00"/>
    <n v="30"/>
    <x v="3"/>
    <x v="7"/>
    <s v="Marseille"/>
    <s v="Corporate"/>
    <s v="Direct"/>
    <x v="1"/>
    <s v="Components"/>
    <x v="519"/>
    <n v="1062.3800000000001"/>
    <n v="1503.96"/>
    <n v="0.18"/>
    <n v="6"/>
    <x v="520"/>
    <n v="6374.2800000000007"/>
    <n v="1025.2031999999999"/>
    <n v="0.13855064905073369"/>
    <x v="14"/>
  </r>
  <r>
    <s v="ORD-2023-472050"/>
    <d v="2023-05-10T00:00:00"/>
    <d v="2023-05-27T00:00:00"/>
    <n v="17"/>
    <x v="1"/>
    <x v="4"/>
    <s v="Mumbai"/>
    <s v="Consumer"/>
    <s v="Retail"/>
    <x v="12"/>
    <s v="Laptops"/>
    <x v="520"/>
    <n v="1286.1600000000001"/>
    <n v="3101.11"/>
    <n v="0.1"/>
    <n v="23"/>
    <x v="521"/>
    <n v="29581.68"/>
    <n v="34611.296999999999"/>
    <n v="0.53917575749758417"/>
    <x v="15"/>
  </r>
  <r>
    <s v="ORD-2024-468615"/>
    <d v="2024-07-09T00:00:00"/>
    <d v="2024-07-12T00:00:00"/>
    <n v="3"/>
    <x v="1"/>
    <x v="9"/>
    <s v="Shanghai"/>
    <s v="Small Business"/>
    <s v="Retail"/>
    <x v="14"/>
    <s v="Accessories"/>
    <x v="521"/>
    <n v="748.39"/>
    <n v="979.42"/>
    <n v="0"/>
    <n v="23"/>
    <x v="522"/>
    <n v="17212.97"/>
    <n v="5313.6899999999987"/>
    <n v="0.23588450307324738"/>
    <x v="14"/>
  </r>
  <r>
    <s v="ORD-2024-833375"/>
    <d v="2024-04-24T00:00:00"/>
    <d v="2024-05-10T00:00:00"/>
    <n v="16"/>
    <x v="0"/>
    <x v="0"/>
    <s v="Kisumu"/>
    <s v="Non-Profit"/>
    <s v="Online"/>
    <x v="13"/>
    <s v="Monitors"/>
    <x v="522"/>
    <n v="513.30999999999995"/>
    <n v="1186.26"/>
    <n v="9.4E-2"/>
    <n v="15"/>
    <x v="523"/>
    <n v="7699.65"/>
    <n v="8421.6234000000022"/>
    <n v="0.52239194702820446"/>
    <x v="20"/>
  </r>
  <r>
    <s v="ORD-2024-206311"/>
    <d v="2024-01-13T00:00:00"/>
    <d v="2024-01-15T00:00:00"/>
    <n v="2"/>
    <x v="2"/>
    <x v="10"/>
    <s v="San Francisco"/>
    <s v="Non-Profit"/>
    <s v="Direct"/>
    <x v="6"/>
    <s v="Components"/>
    <x v="523"/>
    <n v="1061.3699999999999"/>
    <n v="1938.33"/>
    <n v="0.17"/>
    <n v="4"/>
    <x v="524"/>
    <n v="4245.4799999999996"/>
    <n v="2189.7755999999999"/>
    <n v="0.34027795259600879"/>
    <x v="9"/>
  </r>
  <r>
    <s v="ORD-2024-364080"/>
    <d v="2024-04-16T00:00:00"/>
    <d v="2024-04-27T00:00:00"/>
    <n v="11"/>
    <x v="0"/>
    <x v="0"/>
    <s v="Nakuru"/>
    <s v="Enterprise"/>
    <s v="Online"/>
    <x v="14"/>
    <s v="Printers"/>
    <x v="524"/>
    <n v="401.3"/>
    <n v="826.47"/>
    <n v="0.22500000000000001"/>
    <n v="13"/>
    <x v="525"/>
    <n v="5216.9000000000005"/>
    <n v="3109.7852499999999"/>
    <n v="0.37347217489696755"/>
    <x v="20"/>
  </r>
  <r>
    <s v="ORD-2025-460466"/>
    <d v="2025-02-07T00:00:00"/>
    <d v="2025-02-16T00:00:00"/>
    <n v="9"/>
    <x v="0"/>
    <x v="1"/>
    <s v="Lagos"/>
    <s v="Small Business"/>
    <s v="Distributor"/>
    <x v="0"/>
    <s v="Printers"/>
    <x v="525"/>
    <n v="90.68"/>
    <n v="118.17"/>
    <n v="0.13500000000000001"/>
    <n v="21"/>
    <x v="526"/>
    <n v="1904.2800000000002"/>
    <n v="242.27804999999989"/>
    <n v="0.11286815653552899"/>
    <x v="26"/>
  </r>
  <r>
    <s v="ORD-2023-700699"/>
    <d v="2023-01-12T00:00:00"/>
    <d v="2023-01-26T00:00:00"/>
    <n v="14"/>
    <x v="1"/>
    <x v="9"/>
    <s v="Shenzhen"/>
    <s v="Non-Profit"/>
    <s v="Retail"/>
    <x v="12"/>
    <s v="Printers"/>
    <x v="526"/>
    <n v="1083.0899999999999"/>
    <n v="1425.87"/>
    <n v="0"/>
    <n v="8"/>
    <x v="527"/>
    <n v="8664.7199999999993"/>
    <n v="2742.24"/>
    <n v="0.24040059752992909"/>
    <x v="5"/>
  </r>
  <r>
    <s v="ORD-2024-713332"/>
    <d v="2024-06-05T00:00:00"/>
    <d v="2024-06-23T00:00:00"/>
    <n v="18"/>
    <x v="0"/>
    <x v="0"/>
    <s v="Nairobi"/>
    <s v="Consumer"/>
    <s v="Distributor"/>
    <x v="14"/>
    <s v="Laptops"/>
    <x v="527"/>
    <n v="1208.74"/>
    <n v="1594.78"/>
    <n v="5.8999999999999997E-2"/>
    <n v="39"/>
    <x v="528"/>
    <n v="47140.86"/>
    <n v="11385.971219999999"/>
    <n v="0.1945427589817838"/>
    <x v="17"/>
  </r>
  <r>
    <s v="ORD-2023-640022"/>
    <d v="2023-08-24T00:00:00"/>
    <d v="2023-09-20T00:00:00"/>
    <n v="27"/>
    <x v="0"/>
    <x v="11"/>
    <s v="Durban"/>
    <s v="Small Business"/>
    <s v="Marketplace"/>
    <x v="12"/>
    <s v="Printers"/>
    <x v="528"/>
    <n v="1399.64"/>
    <n v="3342.11"/>
    <n v="0"/>
    <n v="10"/>
    <x v="529"/>
    <n v="13996.400000000001"/>
    <n v="19424.699999999997"/>
    <n v="0.58121067229983447"/>
    <x v="25"/>
  </r>
  <r>
    <s v="ORD-2024-532184"/>
    <d v="2024-01-25T00:00:00"/>
    <d v="2024-02-08T00:00:00"/>
    <n v="14"/>
    <x v="1"/>
    <x v="2"/>
    <s v="Osaka"/>
    <s v="Consumer"/>
    <s v="Marketplace"/>
    <x v="2"/>
    <s v="Networking"/>
    <x v="529"/>
    <n v="937.16"/>
    <n v="1069.77"/>
    <n v="3.7999999999999999E-2"/>
    <n v="9"/>
    <x v="530"/>
    <n v="8434.44"/>
    <n v="827.62866000000031"/>
    <n v="8.9356783066645962E-2"/>
    <x v="9"/>
  </r>
  <r>
    <s v="ORD-2025-926547"/>
    <d v="2025-03-11T00:00:00"/>
    <d v="2025-03-26T00:00:00"/>
    <n v="15"/>
    <x v="3"/>
    <x v="6"/>
    <s v="Berlin"/>
    <s v="Small Business"/>
    <s v="Online"/>
    <x v="2"/>
    <s v="Phones"/>
    <x v="530"/>
    <n v="116.97"/>
    <n v="140.82"/>
    <n v="0.122"/>
    <n v="5"/>
    <x v="531"/>
    <n v="584.85"/>
    <n v="33.349799999999846"/>
    <n v="5.3946636669891926E-2"/>
    <x v="3"/>
  </r>
  <r>
    <s v="ORD-2025-778145"/>
    <d v="2025-04-22T00:00:00"/>
    <d v="2025-05-12T00:00:00"/>
    <n v="20"/>
    <x v="3"/>
    <x v="7"/>
    <s v="Lyon"/>
    <s v="Enterprise"/>
    <s v="Marketplace"/>
    <x v="11"/>
    <s v="Monitors"/>
    <x v="531"/>
    <n v="59.51"/>
    <n v="67.040000000000006"/>
    <n v="0.114"/>
    <n v="9"/>
    <x v="532"/>
    <n v="535.59"/>
    <n v="1.0130400000000463"/>
    <n v="1.8950311663264469E-3"/>
    <x v="19"/>
  </r>
  <r>
    <s v="ORD-2023-525643"/>
    <d v="2023-08-17T00:00:00"/>
    <d v="2023-09-03T00:00:00"/>
    <n v="17"/>
    <x v="0"/>
    <x v="11"/>
    <s v="Durban"/>
    <s v="Enterprise"/>
    <s v="Retail"/>
    <x v="8"/>
    <s v="Phones"/>
    <x v="532"/>
    <n v="676.37"/>
    <n v="1276.67"/>
    <n v="6.6000000000000003E-2"/>
    <n v="10"/>
    <x v="533"/>
    <n v="6763.7"/>
    <n v="5160.3977999999997"/>
    <n v="0.4327705027712872"/>
    <x v="25"/>
  </r>
  <r>
    <s v="ORD-2025-312803"/>
    <d v="2025-06-24T00:00:00"/>
    <d v="2025-07-14T00:00:00"/>
    <n v="20"/>
    <x v="0"/>
    <x v="11"/>
    <s v="Johannesburg"/>
    <s v="Enterprise"/>
    <s v="Marketplace"/>
    <x v="1"/>
    <s v="Laptops"/>
    <x v="533"/>
    <n v="1151.06"/>
    <n v="2821.36"/>
    <n v="0.248"/>
    <n v="20"/>
    <x v="534"/>
    <n v="23021.199999999997"/>
    <n v="19412.054400000008"/>
    <n v="0.45747267501594235"/>
    <x v="16"/>
  </r>
  <r>
    <s v="ORD-2025-149156"/>
    <d v="2025-01-10T00:00:00"/>
    <d v="2025-02-06T00:00:00"/>
    <n v="27"/>
    <x v="2"/>
    <x v="5"/>
    <s v="Brasília"/>
    <s v="Non-Profit"/>
    <s v="Retail"/>
    <x v="5"/>
    <s v="Laptops"/>
    <x v="534"/>
    <n v="725.62"/>
    <n v="1559.19"/>
    <n v="0.19"/>
    <n v="12"/>
    <x v="535"/>
    <n v="8707.44"/>
    <n v="6447.8868000000002"/>
    <n v="0.42545349797405885"/>
    <x v="10"/>
  </r>
  <r>
    <s v="ORD-2023-215819"/>
    <d v="2023-07-01T00:00:00"/>
    <d v="2023-07-11T00:00:00"/>
    <n v="10"/>
    <x v="3"/>
    <x v="7"/>
    <s v="Paris"/>
    <s v="Corporate"/>
    <s v="Direct"/>
    <x v="9"/>
    <s v="Networking"/>
    <x v="535"/>
    <n v="479.5"/>
    <n v="656.66"/>
    <n v="0.14899999999999999"/>
    <n v="14"/>
    <x v="536"/>
    <n v="6713"/>
    <n v="1110.4472399999995"/>
    <n v="0.14193835606412289"/>
    <x v="24"/>
  </r>
  <r>
    <s v="ORD-2024-353078"/>
    <d v="2024-08-16T00:00:00"/>
    <d v="2024-08-26T00:00:00"/>
    <n v="10"/>
    <x v="2"/>
    <x v="10"/>
    <s v="Chicago"/>
    <s v="Corporate"/>
    <s v="Distributor"/>
    <x v="4"/>
    <s v="Laptops"/>
    <x v="387"/>
    <n v="1291.7"/>
    <n v="2657.84"/>
    <n v="8.6999999999999994E-2"/>
    <n v="21"/>
    <x v="537"/>
    <n v="27125.7"/>
    <n v="23833.066320000002"/>
    <n v="0.46769315745083367"/>
    <x v="21"/>
  </r>
  <r>
    <s v="ORD-2023-621393"/>
    <d v="2023-07-07T00:00:00"/>
    <d v="2023-07-13T00:00:00"/>
    <n v="6"/>
    <x v="0"/>
    <x v="11"/>
    <s v="Cape Town"/>
    <s v="Small Business"/>
    <s v="Marketplace"/>
    <x v="5"/>
    <s v="Accessories"/>
    <x v="536"/>
    <n v="612.59"/>
    <n v="1424.74"/>
    <n v="4.3999999999999997E-2"/>
    <n v="15"/>
    <x v="538"/>
    <n v="9188.85"/>
    <n v="11241.921599999996"/>
    <n v="0.55024459281802152"/>
    <x v="24"/>
  </r>
  <r>
    <s v="ORD-2023-974506"/>
    <d v="2023-12-28T00:00:00"/>
    <d v="2024-01-01T00:00:00"/>
    <n v="4"/>
    <x v="0"/>
    <x v="11"/>
    <s v="Cape Town"/>
    <s v="Education"/>
    <s v="Distributor"/>
    <x v="8"/>
    <s v="Printers"/>
    <x v="537"/>
    <n v="1141.8"/>
    <n v="2318.7399999999998"/>
    <n v="0.107"/>
    <n v="32"/>
    <x v="539"/>
    <n v="36537.599999999999"/>
    <n v="29722.714239999994"/>
    <n v="0.44857490612468304"/>
    <x v="4"/>
  </r>
  <r>
    <s v="ORD-2023-811823"/>
    <d v="2023-01-26T00:00:00"/>
    <d v="2023-02-15T00:00:00"/>
    <n v="20"/>
    <x v="3"/>
    <x v="6"/>
    <s v="Berlin"/>
    <s v="Small Business"/>
    <s v="Online"/>
    <x v="7"/>
    <s v="Networking"/>
    <x v="538"/>
    <n v="492.62"/>
    <n v="366.7"/>
    <n v="8.8999999999999996E-2"/>
    <n v="10"/>
    <x v="540"/>
    <n v="4926.2"/>
    <n v="1585.5629999999996"/>
    <n v="0.47462894052840809"/>
    <x v="5"/>
  </r>
  <r>
    <s v="ORD-2023-286720"/>
    <d v="2023-07-08T00:00:00"/>
    <d v="2023-07-09T00:00:00"/>
    <n v="1"/>
    <x v="0"/>
    <x v="0"/>
    <s v="Nairobi"/>
    <s v="Consumer"/>
    <s v="Online"/>
    <x v="14"/>
    <s v="Laptops"/>
    <x v="539"/>
    <n v="1258.72"/>
    <n v="2797.41"/>
    <n v="0"/>
    <n v="7"/>
    <x v="541"/>
    <n v="8811.0400000000009"/>
    <n v="10770.829999999998"/>
    <n v="0.55004093071805704"/>
    <x v="24"/>
  </r>
  <r>
    <s v="ORD-2024-626925"/>
    <d v="2024-06-07T00:00:00"/>
    <d v="2024-06-09T00:00:00"/>
    <n v="2"/>
    <x v="1"/>
    <x v="9"/>
    <s v="Shanghai"/>
    <s v="Corporate"/>
    <s v="Retail"/>
    <x v="7"/>
    <s v="Monitors"/>
    <x v="540"/>
    <n v="1370.28"/>
    <n v="2209.66"/>
    <n v="0.13300000000000001"/>
    <n v="16"/>
    <x v="542"/>
    <n v="21924.48"/>
    <n v="8727.9235199999966"/>
    <n v="0.28473863442079589"/>
    <x v="17"/>
  </r>
  <r>
    <s v="ORD-2023-960380"/>
    <d v="2023-02-11T00:00:00"/>
    <d v="2023-02-12T00:00:00"/>
    <n v="1"/>
    <x v="0"/>
    <x v="1"/>
    <s v="Port Harcourt"/>
    <s v="Non-Profit"/>
    <s v="Direct"/>
    <x v="14"/>
    <s v="Accessories"/>
    <x v="541"/>
    <n v="944.61"/>
    <n v="839.04"/>
    <n v="5.8999999999999997E-2"/>
    <n v="6"/>
    <x v="543"/>
    <n v="5667.66"/>
    <n v="930.44016000000011"/>
    <n v="0.19641059343363726"/>
    <x v="2"/>
  </r>
  <r>
    <s v="ORD-2023-453699"/>
    <d v="2023-07-01T00:00:00"/>
    <d v="2023-07-08T00:00:00"/>
    <n v="7"/>
    <x v="3"/>
    <x v="6"/>
    <s v="Frankfurt"/>
    <s v="Small Business"/>
    <s v="Distributor"/>
    <x v="13"/>
    <s v="Laptops"/>
    <x v="542"/>
    <n v="460.21"/>
    <n v="1139.1500000000001"/>
    <n v="0.115"/>
    <n v="14"/>
    <x v="544"/>
    <n v="6442.94"/>
    <n v="7671.1285000000016"/>
    <n v="0.54350937151821255"/>
    <x v="24"/>
  </r>
  <r>
    <s v="ORD-2025-960931"/>
    <d v="2025-08-20T00:00:00"/>
    <d v="2025-08-26T00:00:00"/>
    <n v="6"/>
    <x v="2"/>
    <x v="10"/>
    <s v="New York"/>
    <s v="Corporate"/>
    <s v="Retail"/>
    <x v="12"/>
    <s v="Networking"/>
    <x v="543"/>
    <n v="1304.95"/>
    <n v="1712.03"/>
    <n v="0.21199999999999999"/>
    <n v="8"/>
    <x v="545"/>
    <n v="10439.6"/>
    <n v="353.03711999999905"/>
    <n v="3.2710922833287949E-2"/>
    <x v="28"/>
  </r>
  <r>
    <s v="ORD-2024-419248"/>
    <d v="2024-03-04T00:00:00"/>
    <d v="2024-03-16T00:00:00"/>
    <n v="12"/>
    <x v="0"/>
    <x v="11"/>
    <s v="Johannesburg"/>
    <s v="Enterprise"/>
    <s v="Distributor"/>
    <x v="12"/>
    <s v="Monitors"/>
    <x v="544"/>
    <n v="441.08"/>
    <n v="1054.29"/>
    <n v="0.23699999999999999"/>
    <n v="6"/>
    <x v="546"/>
    <n v="2646.48"/>
    <n v="2180.0596199999995"/>
    <n v="0.45168169985932899"/>
    <x v="0"/>
  </r>
  <r>
    <s v="ORD-2023-488227"/>
    <d v="2023-09-08T00:00:00"/>
    <d v="2023-10-02T00:00:00"/>
    <n v="24"/>
    <x v="2"/>
    <x v="3"/>
    <s v="Toronto"/>
    <s v="Education"/>
    <s v="Direct"/>
    <x v="8"/>
    <s v="Accessories"/>
    <x v="545"/>
    <n v="1299.03"/>
    <n v="2451.2199999999998"/>
    <n v="0.20799999999999999"/>
    <n v="8"/>
    <x v="547"/>
    <n v="10392.24"/>
    <n v="5138.6899199999989"/>
    <n v="0.3308681416032041"/>
    <x v="27"/>
  </r>
  <r>
    <s v="ORD-2023-472078"/>
    <d v="2023-02-28T00:00:00"/>
    <d v="2023-03-06T00:00:00"/>
    <n v="6"/>
    <x v="3"/>
    <x v="6"/>
    <s v="Frankfurt"/>
    <s v="Small Business"/>
    <s v="Marketplace"/>
    <x v="14"/>
    <s v="Printers"/>
    <x v="546"/>
    <n v="880.02"/>
    <n v="1251.21"/>
    <n v="0.123"/>
    <n v="29"/>
    <x v="548"/>
    <n v="25520.579999999998"/>
    <n v="6301.4439300000049"/>
    <n v="0.19802146915172672"/>
    <x v="2"/>
  </r>
  <r>
    <s v="ORD-2024-202877"/>
    <d v="2024-07-13T00:00:00"/>
    <d v="2024-08-03T00:00:00"/>
    <n v="21"/>
    <x v="2"/>
    <x v="5"/>
    <s v="Rio de Janeiro"/>
    <s v="Corporate"/>
    <s v="Marketplace"/>
    <x v="12"/>
    <s v="Monitors"/>
    <x v="547"/>
    <n v="702.98"/>
    <n v="1104.8"/>
    <n v="0.17499999999999999"/>
    <n v="12"/>
    <x v="549"/>
    <n v="8435.76"/>
    <n v="2501.7599999999984"/>
    <n v="0.22873192460448061"/>
    <x v="14"/>
  </r>
  <r>
    <s v="ORD-2024-140633"/>
    <d v="2024-12-07T00:00:00"/>
    <d v="2024-12-26T00:00:00"/>
    <n v="19"/>
    <x v="3"/>
    <x v="8"/>
    <s v="London"/>
    <s v="Enterprise"/>
    <s v="Online"/>
    <x v="14"/>
    <s v="Networking"/>
    <x v="548"/>
    <n v="1035.24"/>
    <n v="2383.41"/>
    <n v="0.17"/>
    <n v="15"/>
    <x v="550"/>
    <n v="15528.6"/>
    <n v="14144.854499999992"/>
    <n v="0.47668378145860962"/>
    <x v="6"/>
  </r>
  <r>
    <s v="ORD-2025-419532"/>
    <d v="2025-08-06T00:00:00"/>
    <d v="2025-08-23T00:00:00"/>
    <n v="17"/>
    <x v="2"/>
    <x v="5"/>
    <s v="Brasília"/>
    <s v="Consumer"/>
    <s v="Distributor"/>
    <x v="8"/>
    <s v="Monitors"/>
    <x v="549"/>
    <n v="86.64"/>
    <n v="213.06"/>
    <n v="0.21199999999999999"/>
    <n v="11"/>
    <x v="551"/>
    <n v="953.04"/>
    <n v="893.76407999999992"/>
    <n v="0.48395175735154322"/>
    <x v="28"/>
  </r>
  <r>
    <s v="ORD-2023-139236"/>
    <d v="2023-03-03T00:00:00"/>
    <d v="2023-03-20T00:00:00"/>
    <n v="17"/>
    <x v="1"/>
    <x v="2"/>
    <s v="Nagoya"/>
    <s v="Small Business"/>
    <s v="Online"/>
    <x v="14"/>
    <s v="Networking"/>
    <x v="550"/>
    <n v="1171.17"/>
    <n v="2030.64"/>
    <n v="0.157"/>
    <n v="11"/>
    <x v="552"/>
    <n v="12882.87"/>
    <n v="5947.254719999999"/>
    <n v="0.31583724528830415"/>
    <x v="22"/>
  </r>
  <r>
    <s v="ORD-2025-337268"/>
    <d v="2025-02-16T00:00:00"/>
    <d v="2025-03-17T00:00:00"/>
    <n v="29"/>
    <x v="3"/>
    <x v="6"/>
    <s v="Munich"/>
    <s v="Consumer"/>
    <s v="Retail"/>
    <x v="4"/>
    <s v="Accessories"/>
    <x v="551"/>
    <n v="730.42"/>
    <n v="956.7"/>
    <n v="4.2000000000000003E-2"/>
    <n v="22"/>
    <x v="553"/>
    <n v="16069.24"/>
    <n v="4094.1692000000021"/>
    <n v="0.20304945256975698"/>
    <x v="26"/>
  </r>
  <r>
    <s v="ORD-2025-332931"/>
    <d v="2025-02-15T00:00:00"/>
    <d v="2025-03-01T00:00:00"/>
    <n v="14"/>
    <x v="0"/>
    <x v="0"/>
    <s v="Mombasa"/>
    <s v="Education"/>
    <s v="Direct"/>
    <x v="4"/>
    <s v="Accessories"/>
    <x v="552"/>
    <n v="1162.8599999999999"/>
    <n v="1447.68"/>
    <n v="8.6999999999999994E-2"/>
    <n v="12"/>
    <x v="554"/>
    <n v="13954.32"/>
    <n v="1906.4620800000012"/>
    <n v="0.12019975247021369"/>
    <x v="26"/>
  </r>
  <r>
    <s v="ORD-2024-536442"/>
    <d v="2024-08-31T00:00:00"/>
    <d v="2024-09-26T00:00:00"/>
    <n v="26"/>
    <x v="1"/>
    <x v="2"/>
    <s v="Tokyo"/>
    <s v="Education"/>
    <s v="Online"/>
    <x v="2"/>
    <s v="Phones"/>
    <x v="553"/>
    <n v="1189.03"/>
    <n v="2949.62"/>
    <n v="0.125"/>
    <n v="13"/>
    <x v="555"/>
    <n v="15457.39"/>
    <n v="18094.537499999999"/>
    <n v="0.53929949330034765"/>
    <x v="21"/>
  </r>
  <r>
    <s v="ORD-2023-957692"/>
    <d v="2023-05-07T00:00:00"/>
    <d v="2023-05-20T00:00:00"/>
    <n v="13"/>
    <x v="1"/>
    <x v="4"/>
    <s v="Mumbai"/>
    <s v="Enterprise"/>
    <s v="Retail"/>
    <x v="14"/>
    <s v="Accessories"/>
    <x v="554"/>
    <n v="1443.28"/>
    <n v="2580.5700000000002"/>
    <n v="0"/>
    <n v="18"/>
    <x v="556"/>
    <n v="25979.040000000001"/>
    <n v="20471.22"/>
    <n v="0.4407127107577008"/>
    <x v="15"/>
  </r>
  <r>
    <s v="ORD-2025-874124"/>
    <d v="2025-05-14T00:00:00"/>
    <d v="2025-05-12T00:00:00"/>
    <n v="2"/>
    <x v="2"/>
    <x v="3"/>
    <s v="Vancouver"/>
    <s v="Non-Profit"/>
    <s v="Distributor"/>
    <x v="9"/>
    <s v="Printers"/>
    <x v="555"/>
    <n v="883.5"/>
    <n v="1978.91"/>
    <n v="5.3999999999999999E-2"/>
    <n v="27"/>
    <x v="557"/>
    <n v="23854.5"/>
    <n v="26690.819219999998"/>
    <n v="0.52805718970390547"/>
    <x v="8"/>
  </r>
  <r>
    <s v="ORD-2024-687073"/>
    <d v="2024-03-11T00:00:00"/>
    <d v="2024-03-29T00:00:00"/>
    <n v="18"/>
    <x v="2"/>
    <x v="10"/>
    <s v="New York"/>
    <s v="Corporate"/>
    <s v="Retail"/>
    <x v="12"/>
    <s v="Monitors"/>
    <x v="556"/>
    <n v="710.98"/>
    <n v="1481.45"/>
    <n v="0.21099999999999999"/>
    <n v="9"/>
    <x v="558"/>
    <n v="6398.82"/>
    <n v="4120.9564500000015"/>
    <n v="0.39173422264120461"/>
    <x v="0"/>
  </r>
  <r>
    <s v="ORD-2024-555229"/>
    <d v="2024-05-18T00:00:00"/>
    <d v="2024-05-22T00:00:00"/>
    <n v="4"/>
    <x v="0"/>
    <x v="0"/>
    <s v="Nairobi"/>
    <s v="Corporate"/>
    <s v="Direct"/>
    <x v="10"/>
    <s v="Accessories"/>
    <x v="557"/>
    <n v="857.42"/>
    <n v="1658.92"/>
    <n v="0.122"/>
    <n v="9"/>
    <x v="559"/>
    <n v="7716.78"/>
    <n v="5392.0058400000007"/>
    <n v="0.41132763215544305"/>
    <x v="7"/>
  </r>
  <r>
    <s v="ORD-2024-872291"/>
    <d v="2024-01-08T00:00:00"/>
    <d v="2024-01-12T00:00:00"/>
    <n v="4"/>
    <x v="1"/>
    <x v="4"/>
    <s v="Bengaluru"/>
    <s v="Corporate"/>
    <s v="Direct"/>
    <x v="6"/>
    <s v="Printers"/>
    <x v="558"/>
    <n v="802.32"/>
    <n v="602.34"/>
    <n v="0.12"/>
    <n v="25"/>
    <x v="560"/>
    <n v="20058"/>
    <n v="6806.52"/>
    <n v="0.51364224977134632"/>
    <x v="9"/>
  </r>
  <r>
    <s v="ORD-2024-250862"/>
    <d v="2024-10-25T00:00:00"/>
    <d v="2024-11-05T00:00:00"/>
    <n v="11"/>
    <x v="2"/>
    <x v="10"/>
    <s v="New York"/>
    <s v="Corporate"/>
    <s v="Distributor"/>
    <x v="13"/>
    <s v="Components"/>
    <x v="559"/>
    <n v="446.66"/>
    <n v="527.64"/>
    <n v="0.14499999999999999"/>
    <n v="15"/>
    <x v="561"/>
    <n v="6699.9000000000005"/>
    <n v="67.082999999998719"/>
    <n v="9.9132804087137105E-3"/>
    <x v="1"/>
  </r>
  <r>
    <s v="ORD-2024-331226"/>
    <d v="2024-11-30T00:00:00"/>
    <d v="2024-12-19T00:00:00"/>
    <n v="19"/>
    <x v="0"/>
    <x v="0"/>
    <s v="Kisumu"/>
    <s v="Corporate"/>
    <s v="Online"/>
    <x v="4"/>
    <s v="Phones"/>
    <x v="560"/>
    <n v="1195.98"/>
    <n v="1841.9"/>
    <n v="5.5E-2"/>
    <n v="19"/>
    <x v="562"/>
    <n v="22723.62"/>
    <n v="10347.694500000001"/>
    <n v="0.31289032977506842"/>
    <x v="18"/>
  </r>
  <r>
    <s v="ORD-2023-356427"/>
    <d v="2023-04-13T00:00:00"/>
    <d v="2023-05-02T00:00:00"/>
    <n v="19"/>
    <x v="2"/>
    <x v="3"/>
    <s v="Montreal"/>
    <s v="Consumer"/>
    <s v="Distributor"/>
    <x v="6"/>
    <s v="Monitors"/>
    <x v="561"/>
    <n v="671.05"/>
    <n v="1645.48"/>
    <n v="0.13700000000000001"/>
    <n v="6"/>
    <x v="563"/>
    <n v="4026.2999999999997"/>
    <n v="4493.9954400000006"/>
    <n v="0.52744596377517172"/>
    <x v="12"/>
  </r>
  <r>
    <s v="ORD-2025-659650"/>
    <d v="2025-02-04T00:00:00"/>
    <d v="2025-02-08T00:00:00"/>
    <n v="4"/>
    <x v="3"/>
    <x v="8"/>
    <s v="Manchester"/>
    <s v="Enterprise"/>
    <s v="Marketplace"/>
    <x v="4"/>
    <s v="Networking"/>
    <x v="562"/>
    <n v="586.21"/>
    <n v="727.22"/>
    <n v="6.8000000000000005E-2"/>
    <n v="15"/>
    <x v="564"/>
    <n v="8793.1500000000015"/>
    <n v="1373.3855999999996"/>
    <n v="0.13508884973559721"/>
    <x v="26"/>
  </r>
  <r>
    <s v="ORD-2024-207669"/>
    <d v="2024-01-24T00:00:00"/>
    <d v="2024-02-04T00:00:00"/>
    <n v="11"/>
    <x v="3"/>
    <x v="8"/>
    <s v="Manchester"/>
    <s v="Consumer"/>
    <s v="Retail"/>
    <x v="5"/>
    <s v="Laptops"/>
    <x v="563"/>
    <n v="525.34"/>
    <n v="1233.79"/>
    <n v="0.14299999999999999"/>
    <n v="4"/>
    <x v="565"/>
    <n v="2101.36"/>
    <n v="2128.0721199999994"/>
    <n v="0.50315788494082736"/>
    <x v="9"/>
  </r>
  <r>
    <s v="ORD-2024-979401"/>
    <d v="2024-02-08T00:00:00"/>
    <d v="2024-02-09T00:00:00"/>
    <n v="1"/>
    <x v="0"/>
    <x v="0"/>
    <s v="Mombasa"/>
    <s v="Corporate"/>
    <s v="Direct"/>
    <x v="9"/>
    <s v="Components"/>
    <x v="564"/>
    <n v="1233.52"/>
    <n v="1543.76"/>
    <n v="0.126"/>
    <n v="13"/>
    <x v="566"/>
    <n v="16035.76"/>
    <n v="1504.4411200000013"/>
    <n v="8.5771030201277493E-2"/>
    <x v="31"/>
  </r>
  <r>
    <s v="ORD-2025-929414"/>
    <d v="2025-06-26T00:00:00"/>
    <d v="2025-07-11T00:00:00"/>
    <n v="15"/>
    <x v="0"/>
    <x v="1"/>
    <s v="Port Harcourt"/>
    <s v="Small Business"/>
    <s v="Online"/>
    <x v="8"/>
    <s v="Laptops"/>
    <x v="565"/>
    <n v="1170.1500000000001"/>
    <n v="2115.19"/>
    <n v="9.1999999999999998E-2"/>
    <n v="23"/>
    <x v="567"/>
    <n v="26913.45"/>
    <n v="17260.177960000005"/>
    <n v="0.39073489674946776"/>
    <x v="16"/>
  </r>
  <r>
    <s v="ORD-2024-766980"/>
    <d v="2024-11-04T00:00:00"/>
    <d v="2024-11-07T00:00:00"/>
    <n v="3"/>
    <x v="3"/>
    <x v="7"/>
    <s v="Lyon"/>
    <s v="Corporate"/>
    <s v="Online"/>
    <x v="7"/>
    <s v="Monitors"/>
    <x v="566"/>
    <n v="740.68"/>
    <n v="1837.19"/>
    <n v="0.19700000000000001"/>
    <n v="17"/>
    <x v="568"/>
    <n v="12591.56"/>
    <n v="12487.920689999997"/>
    <n v="0.4979337827748298"/>
    <x v="18"/>
  </r>
  <r>
    <s v="ORD-2024-437164"/>
    <d v="2024-02-20T00:00:00"/>
    <d v="2024-02-20T00:00:00"/>
    <n v="0"/>
    <x v="2"/>
    <x v="10"/>
    <s v="New York"/>
    <s v="Enterprise"/>
    <s v="Online"/>
    <x v="0"/>
    <s v="Networking"/>
    <x v="567"/>
    <n v="1407.05"/>
    <n v="2858.93"/>
    <n v="0"/>
    <n v="12"/>
    <x v="569"/>
    <n v="16884.599999999999"/>
    <n v="17422.559999999998"/>
    <n v="0.50784034586366222"/>
    <x v="31"/>
  </r>
  <r>
    <s v="ORD-2025-169093"/>
    <d v="2025-04-13T00:00:00"/>
    <d v="2025-04-14T00:00:00"/>
    <n v="1"/>
    <x v="1"/>
    <x v="2"/>
    <s v="Osaka"/>
    <s v="Enterprise"/>
    <s v="Online"/>
    <x v="3"/>
    <s v="Components"/>
    <x v="568"/>
    <n v="138.9"/>
    <n v="289.92"/>
    <n v="2.9000000000000001E-2"/>
    <n v="12"/>
    <x v="570"/>
    <n v="1666.8000000000002"/>
    <n v="1711.3478399999999"/>
    <n v="0.50659353025828491"/>
    <x v="19"/>
  </r>
  <r>
    <s v="ORD-2023-868460"/>
    <d v="2023-06-01T00:00:00"/>
    <d v="2023-06-01T00:00:00"/>
    <n v="0"/>
    <x v="1"/>
    <x v="4"/>
    <s v="Bengaluru"/>
    <s v="Corporate"/>
    <s v="Retail"/>
    <x v="6"/>
    <s v="Accessories"/>
    <x v="569"/>
    <n v="669.37"/>
    <n v="997.2"/>
    <n v="8.2000000000000003E-2"/>
    <n v="5"/>
    <x v="571"/>
    <n v="3346.85"/>
    <n v="1230.2980000000002"/>
    <n v="0.26879139586484863"/>
    <x v="23"/>
  </r>
  <r>
    <s v="ORD-2025-177994"/>
    <d v="2025-03-24T00:00:00"/>
    <d v="2025-04-04T00:00:00"/>
    <n v="11"/>
    <x v="1"/>
    <x v="4"/>
    <s v="Mumbai"/>
    <s v="Education"/>
    <s v="Marketplace"/>
    <x v="1"/>
    <s v="Phones"/>
    <x v="570"/>
    <n v="23.83"/>
    <n v="47.29"/>
    <n v="6.4000000000000001E-2"/>
    <n v="19"/>
    <x v="572"/>
    <n v="452.77"/>
    <n v="388.23536000000001"/>
    <n v="0.46163244429262618"/>
    <x v="3"/>
  </r>
  <r>
    <s v="ORD-2024-355095"/>
    <d v="2024-01-02T00:00:00"/>
    <d v="2024-01-02T00:00:00"/>
    <n v="0"/>
    <x v="2"/>
    <x v="3"/>
    <s v="Vancouver"/>
    <s v="Education"/>
    <s v="Direct"/>
    <x v="8"/>
    <s v="Laptops"/>
    <x v="571"/>
    <n v="444.41"/>
    <n v="754.24"/>
    <n v="0.20699999999999999"/>
    <n v="32"/>
    <x v="573"/>
    <n v="14221.12"/>
    <n v="4918.4742400000014"/>
    <n v="0.25697902360546598"/>
    <x v="9"/>
  </r>
  <r>
    <s v="ORD-2023-126505"/>
    <d v="2023-12-19T00:00:00"/>
    <d v="2024-01-01T00:00:00"/>
    <n v="13"/>
    <x v="2"/>
    <x v="3"/>
    <s v="Toronto"/>
    <s v="Enterprise"/>
    <s v="Retail"/>
    <x v="11"/>
    <s v="Monitors"/>
    <x v="572"/>
    <n v="856.1"/>
    <n v="901.48"/>
    <n v="5.6000000000000001E-2"/>
    <n v="17"/>
    <x v="574"/>
    <n v="14553.7"/>
    <n v="86.748960000000807"/>
    <n v="5.9963540182134192E-3"/>
    <x v="4"/>
  </r>
  <r>
    <s v="ORD-2023-340056"/>
    <d v="2023-04-26T00:00:00"/>
    <d v="2023-04-26T00:00:00"/>
    <n v="0"/>
    <x v="3"/>
    <x v="7"/>
    <s v="Marseille"/>
    <s v="Consumer"/>
    <s v="Direct"/>
    <x v="12"/>
    <s v="Components"/>
    <x v="573"/>
    <n v="81.489999999999995"/>
    <n v="113.08"/>
    <n v="0.121"/>
    <n v="5"/>
    <x v="575"/>
    <n v="407.45"/>
    <n v="89.536600000000021"/>
    <n v="0.18015898215364362"/>
    <x v="12"/>
  </r>
  <r>
    <s v="ORD-2025-281413"/>
    <d v="2025-08-03T00:00:00"/>
    <d v="2025-08-16T00:00:00"/>
    <n v="13"/>
    <x v="2"/>
    <x v="3"/>
    <s v="Montreal"/>
    <s v="Enterprise"/>
    <s v="Distributor"/>
    <x v="7"/>
    <s v="Networking"/>
    <x v="574"/>
    <n v="698.66"/>
    <n v="868.62"/>
    <n v="7.1999999999999995E-2"/>
    <n v="15"/>
    <x v="576"/>
    <n v="10479.9"/>
    <n v="1611.2903999999999"/>
    <n v="0.13326151906432637"/>
    <x v="28"/>
  </r>
  <r>
    <s v="ORD-2023-713614"/>
    <d v="2023-08-02T00:00:00"/>
    <d v="2023-08-19T00:00:00"/>
    <n v="17"/>
    <x v="2"/>
    <x v="3"/>
    <s v="Vancouver"/>
    <s v="Corporate"/>
    <s v="Online"/>
    <x v="9"/>
    <s v="Networking"/>
    <x v="575"/>
    <n v="175.38"/>
    <n v="347.9"/>
    <n v="7.1999999999999995E-2"/>
    <n v="43"/>
    <x v="577"/>
    <n v="7541.34"/>
    <n v="6341.2615999999998"/>
    <n v="0.45677761148169804"/>
    <x v="25"/>
  </r>
  <r>
    <s v="ORD-2023-173313"/>
    <d v="2023-06-15T00:00:00"/>
    <d v="2023-07-12T00:00:00"/>
    <n v="27"/>
    <x v="3"/>
    <x v="8"/>
    <s v="Manchester"/>
    <s v="Consumer"/>
    <s v="Direct"/>
    <x v="2"/>
    <s v="Accessories"/>
    <x v="576"/>
    <n v="751.28"/>
    <n v="1111.8800000000001"/>
    <n v="0.13500000000000001"/>
    <n v="7"/>
    <x v="578"/>
    <n v="5258.96"/>
    <n v="1473.4734000000008"/>
    <n v="0.21886193482433863"/>
    <x v="23"/>
  </r>
  <r>
    <s v="ORD-2024-496601"/>
    <d v="2024-11-11T00:00:00"/>
    <d v="2024-11-24T00:00:00"/>
    <n v="13"/>
    <x v="3"/>
    <x v="8"/>
    <s v="London"/>
    <s v="Corporate"/>
    <s v="Retail"/>
    <x v="6"/>
    <s v="Networking"/>
    <x v="577"/>
    <n v="164.53"/>
    <n v="327.72"/>
    <n v="6.7000000000000004E-2"/>
    <n v="14"/>
    <x v="579"/>
    <n v="2303.42"/>
    <n v="1977.25864"/>
    <n v="0.46190307805960412"/>
    <x v="18"/>
  </r>
  <r>
    <s v="ORD-2025-155182"/>
    <d v="2025-07-11T00:00:00"/>
    <d v="2025-08-03T00:00:00"/>
    <n v="23"/>
    <x v="0"/>
    <x v="0"/>
    <s v="Nakuru"/>
    <s v="Small Business"/>
    <s v="Retail"/>
    <x v="0"/>
    <s v="Phones"/>
    <x v="578"/>
    <n v="389.93"/>
    <n v="486.13"/>
    <n v="0.13200000000000001"/>
    <n v="17"/>
    <x v="580"/>
    <n v="6628.81"/>
    <n v="544.52427999999873"/>
    <n v="7.5909508569562828E-2"/>
    <x v="13"/>
  </r>
  <r>
    <s v="ORD-2023-244375"/>
    <d v="2023-06-03T00:00:00"/>
    <d v="2023-07-01T00:00:00"/>
    <n v="28"/>
    <x v="2"/>
    <x v="5"/>
    <s v="Brasília"/>
    <s v="Small Business"/>
    <s v="Marketplace"/>
    <x v="8"/>
    <s v="Components"/>
    <x v="579"/>
    <n v="860.4"/>
    <n v="2066.6"/>
    <n v="0.01"/>
    <n v="3"/>
    <x v="581"/>
    <n v="2581.1999999999998"/>
    <n v="3556.601999999999"/>
    <n v="0.57945857491004105"/>
    <x v="23"/>
  </r>
  <r>
    <s v="ORD-2023-856322"/>
    <d v="2023-01-29T00:00:00"/>
    <d v="2023-02-06T00:00:00"/>
    <n v="8"/>
    <x v="2"/>
    <x v="5"/>
    <s v="Brasília"/>
    <s v="Corporate"/>
    <s v="Marketplace"/>
    <x v="14"/>
    <s v="Monitors"/>
    <x v="580"/>
    <n v="41.84"/>
    <n v="86.2"/>
    <n v="0.22600000000000001"/>
    <n v="27"/>
    <x v="582"/>
    <n v="1129.68"/>
    <n v="671.72760000000017"/>
    <n v="0.37289039970742882"/>
    <x v="5"/>
  </r>
  <r>
    <s v="ORD-2024-594527"/>
    <d v="2024-09-06T00:00:00"/>
    <d v="2024-09-04T00:00:00"/>
    <n v="2"/>
    <x v="1"/>
    <x v="2"/>
    <s v="Osaka"/>
    <s v="Corporate"/>
    <s v="Direct"/>
    <x v="8"/>
    <s v="Laptops"/>
    <x v="581"/>
    <n v="1368.17"/>
    <n v="2307.75"/>
    <n v="0.16300000000000001"/>
    <n v="21"/>
    <x v="583"/>
    <n v="28731.57"/>
    <n v="11831.751749999996"/>
    <n v="0.29168596750831921"/>
    <x v="29"/>
  </r>
  <r>
    <s v="ORD-2024-689872"/>
    <d v="2024-08-03T00:00:00"/>
    <d v="2024-08-09T00:00:00"/>
    <n v="6"/>
    <x v="0"/>
    <x v="0"/>
    <s v="Mombasa"/>
    <s v="Consumer"/>
    <s v="Marketplace"/>
    <x v="10"/>
    <s v="Laptops"/>
    <x v="582"/>
    <n v="643.21"/>
    <n v="1112.81"/>
    <n v="0.14099999999999999"/>
    <n v="4"/>
    <x v="584"/>
    <n v="2572.84"/>
    <n v="1250.7751599999997"/>
    <n v="0.32711847496702562"/>
    <x v="21"/>
  </r>
  <r>
    <s v="ORD-2025-246692"/>
    <d v="2025-04-17T00:00:00"/>
    <d v="2025-04-17T00:00:00"/>
    <n v="0"/>
    <x v="2"/>
    <x v="5"/>
    <s v="São Paulo"/>
    <s v="Corporate"/>
    <s v="Distributor"/>
    <x v="4"/>
    <s v="Phones"/>
    <x v="583"/>
    <n v="719.41"/>
    <n v="1125.99"/>
    <n v="4.1000000000000002E-2"/>
    <n v="21"/>
    <x v="585"/>
    <n v="15107.609999999999"/>
    <n v="7568.7026100000021"/>
    <n v="0.33377131194876403"/>
    <x v="19"/>
  </r>
  <r>
    <s v="ORD-2023-378676"/>
    <d v="2023-05-03T00:00:00"/>
    <d v="2023-05-16T00:00:00"/>
    <n v="13"/>
    <x v="2"/>
    <x v="10"/>
    <s v="New York"/>
    <s v="Corporate"/>
    <s v="Marketplace"/>
    <x v="4"/>
    <s v="Phones"/>
    <x v="584"/>
    <n v="64.5"/>
    <n v="123.62"/>
    <n v="0"/>
    <n v="3"/>
    <x v="586"/>
    <n v="193.5"/>
    <n v="177.36"/>
    <n v="0.47823976702798904"/>
    <x v="15"/>
  </r>
  <r>
    <s v="ORD-2024-243988"/>
    <d v="2024-03-13T00:00:00"/>
    <d v="2024-04-06T00:00:00"/>
    <n v="24"/>
    <x v="0"/>
    <x v="1"/>
    <s v="Abuja"/>
    <s v="Consumer"/>
    <s v="Distributor"/>
    <x v="4"/>
    <s v="Components"/>
    <x v="585"/>
    <n v="1232.78"/>
    <n v="1731.75"/>
    <n v="9.2999999999999999E-2"/>
    <n v="16"/>
    <x v="587"/>
    <n v="19724.48"/>
    <n v="5406.6759999999995"/>
    <n v="0.21513837246484005"/>
    <x v="0"/>
  </r>
  <r>
    <s v="ORD-2024-572312"/>
    <d v="2024-06-16T00:00:00"/>
    <d v="2024-06-21T00:00:00"/>
    <n v="5"/>
    <x v="1"/>
    <x v="2"/>
    <s v="Tokyo"/>
    <s v="Small Business"/>
    <s v="Distributor"/>
    <x v="9"/>
    <s v="Phones"/>
    <x v="586"/>
    <n v="1367.13"/>
    <n v="3062.01"/>
    <n v="0.10299999999999999"/>
    <n v="25"/>
    <x v="588"/>
    <n v="34178.25"/>
    <n v="34487.324250000005"/>
    <n v="0.50225057645971705"/>
    <x v="17"/>
  </r>
  <r>
    <s v="ORD-2025-281062"/>
    <d v="2025-02-15T00:00:00"/>
    <d v="2025-02-27T00:00:00"/>
    <n v="12"/>
    <x v="3"/>
    <x v="7"/>
    <s v="Lyon"/>
    <s v="Non-Profit"/>
    <s v="Direct"/>
    <x v="11"/>
    <s v="Accessories"/>
    <x v="587"/>
    <n v="1027.26"/>
    <n v="2200.41"/>
    <n v="8.7999999999999995E-2"/>
    <n v="6"/>
    <x v="589"/>
    <n v="6163.5599999999995"/>
    <n v="5877.0835200000001"/>
    <n v="0.48810377204822358"/>
    <x v="26"/>
  </r>
  <r>
    <s v="ORD-2023-727290"/>
    <d v="2023-04-03T00:00:00"/>
    <d v="2023-04-16T00:00:00"/>
    <n v="13"/>
    <x v="3"/>
    <x v="7"/>
    <s v="Marseille"/>
    <s v="Non-Profit"/>
    <s v="Marketplace"/>
    <x v="12"/>
    <s v="Accessories"/>
    <x v="588"/>
    <n v="790.54"/>
    <n v="601.49"/>
    <n v="0"/>
    <n v="15"/>
    <x v="590"/>
    <n v="11858.099999999999"/>
    <n v="2835.7499999999982"/>
    <n v="0.31430281467688553"/>
    <x v="12"/>
  </r>
  <r>
    <s v="ORD-2025-993993"/>
    <d v="2025-08-30T00:00:00"/>
    <d v="2025-09-22T00:00:00"/>
    <n v="23"/>
    <x v="3"/>
    <x v="7"/>
    <s v="Marseille"/>
    <s v="Corporate"/>
    <s v="Direct"/>
    <x v="6"/>
    <s v="Components"/>
    <x v="589"/>
    <n v="663.9"/>
    <n v="947.77"/>
    <n v="0.17399999999999999"/>
    <n v="15"/>
    <x v="591"/>
    <n v="9958.5"/>
    <n v="1784.3703000000005"/>
    <n v="0.1519535049280073"/>
    <x v="28"/>
  </r>
  <r>
    <s v="ORD-2023-619493"/>
    <d v="2023-02-27T00:00:00"/>
    <d v="2023-02-26T00:00:00"/>
    <n v="1"/>
    <x v="2"/>
    <x v="10"/>
    <s v="San Francisco"/>
    <s v="Non-Profit"/>
    <s v="Online"/>
    <x v="4"/>
    <s v="Networking"/>
    <x v="590"/>
    <n v="1015.91"/>
    <n v="2331.48"/>
    <n v="0.14599999999999999"/>
    <n v="26"/>
    <x v="592"/>
    <n v="26413.66"/>
    <n v="25354.521920000003"/>
    <n v="0.48977037592669626"/>
    <x v="2"/>
  </r>
  <r>
    <s v="ORD-2024-947056"/>
    <d v="2024-07-31T00:00:00"/>
    <d v="2024-08-15T00:00:00"/>
    <n v="15"/>
    <x v="1"/>
    <x v="2"/>
    <s v="Tokyo"/>
    <s v="Corporate"/>
    <s v="Marketplace"/>
    <x v="9"/>
    <s v="Monitors"/>
    <x v="591"/>
    <n v="1252.52"/>
    <n v="1417.24"/>
    <n v="0.192"/>
    <n v="5"/>
    <x v="593"/>
    <n v="6262.6"/>
    <n v="536.95039999999972"/>
    <n v="9.3779821943696953E-2"/>
    <x v="14"/>
  </r>
  <r>
    <s v="ORD-2025-856556"/>
    <d v="2025-06-15T00:00:00"/>
    <d v="2025-07-12T00:00:00"/>
    <n v="27"/>
    <x v="3"/>
    <x v="7"/>
    <s v="Marseille"/>
    <s v="Consumer"/>
    <s v="Direct"/>
    <x v="0"/>
    <s v="Accessories"/>
    <x v="592"/>
    <n v="318.83"/>
    <n v="699.5"/>
    <n v="0.08"/>
    <n v="13"/>
    <x v="594"/>
    <n v="4144.79"/>
    <n v="4221.2300000000005"/>
    <n v="0.50456848059172699"/>
    <x v="16"/>
  </r>
  <r>
    <s v="ORD-2024-442776"/>
    <d v="2024-06-30T00:00:00"/>
    <d v="2024-07-21T00:00:00"/>
    <n v="21"/>
    <x v="0"/>
    <x v="0"/>
    <s v="Kisumu"/>
    <s v="Small Business"/>
    <s v="Retail"/>
    <x v="11"/>
    <s v="Laptops"/>
    <x v="593"/>
    <n v="753.43"/>
    <n v="1787.2"/>
    <n v="7.2999999999999995E-2"/>
    <n v="9"/>
    <x v="595"/>
    <n v="6780.87"/>
    <n v="8129.7396000000017"/>
    <n v="0.54523187301476939"/>
    <x v="17"/>
  </r>
  <r>
    <s v="ORD-2025-705398"/>
    <d v="2025-02-17T00:00:00"/>
    <d v="2025-02-15T00:00:00"/>
    <n v="2"/>
    <x v="2"/>
    <x v="3"/>
    <s v="Toronto"/>
    <s v="Small Business"/>
    <s v="Retail"/>
    <x v="14"/>
    <s v="Components"/>
    <x v="594"/>
    <n v="1133.47"/>
    <n v="1698.75"/>
    <n v="4.2999999999999997E-2"/>
    <n v="5"/>
    <x v="596"/>
    <n v="5667.35"/>
    <n v="2461.1687499999989"/>
    <n v="0.30278194904821976"/>
    <x v="26"/>
  </r>
  <r>
    <s v="ORD-2023-689428"/>
    <d v="2023-01-07T00:00:00"/>
    <d v="2023-01-30T00:00:00"/>
    <n v="23"/>
    <x v="0"/>
    <x v="11"/>
    <s v="Cape Town"/>
    <s v="Consumer"/>
    <s v="Online"/>
    <x v="8"/>
    <s v="Printers"/>
    <x v="595"/>
    <n v="299.02"/>
    <n v="724.7"/>
    <n v="0.14000000000000001"/>
    <n v="5"/>
    <x v="597"/>
    <n v="1495.1"/>
    <n v="1621.1100000000001"/>
    <n v="0.52021847051386139"/>
    <x v="5"/>
  </r>
  <r>
    <s v="ORD-2025-683247"/>
    <d v="2025-03-10T00:00:00"/>
    <d v="2025-04-04T00:00:00"/>
    <n v="25"/>
    <x v="1"/>
    <x v="2"/>
    <s v="Osaka"/>
    <s v="Corporate"/>
    <s v="Direct"/>
    <x v="10"/>
    <s v="Printers"/>
    <x v="596"/>
    <n v="783.72"/>
    <n v="1355.94"/>
    <n v="0.187"/>
    <n v="4"/>
    <x v="598"/>
    <n v="3134.88"/>
    <n v="1274.63688"/>
    <n v="0.28906497348525856"/>
    <x v="3"/>
  </r>
  <r>
    <s v="ORD-2024-585443"/>
    <d v="2024-08-17T00:00:00"/>
    <d v="2024-08-15T00:00:00"/>
    <n v="2"/>
    <x v="2"/>
    <x v="5"/>
    <s v="Rio de Janeiro"/>
    <s v="Consumer"/>
    <s v="Direct"/>
    <x v="12"/>
    <s v="Monitors"/>
    <x v="597"/>
    <n v="165.3"/>
    <n v="275.07"/>
    <n v="0.13300000000000001"/>
    <n v="25"/>
    <x v="599"/>
    <n v="4132.5"/>
    <n v="1829.6422499999999"/>
    <n v="0.30687665159280625"/>
    <x v="21"/>
  </r>
  <r>
    <s v="ORD-2024-907733"/>
    <d v="2024-03-09T00:00:00"/>
    <d v="2024-03-22T00:00:00"/>
    <n v="13"/>
    <x v="3"/>
    <x v="8"/>
    <s v="Manchester"/>
    <s v="Consumer"/>
    <s v="Online"/>
    <x v="6"/>
    <s v="Laptops"/>
    <x v="598"/>
    <n v="985.45"/>
    <n v="1802.44"/>
    <n v="8.9999999999999993E-3"/>
    <n v="19"/>
    <x v="600"/>
    <n v="18723.55"/>
    <n v="15214.592760000003"/>
    <n v="0.44830363486867486"/>
    <x v="0"/>
  </r>
  <r>
    <s v="ORD-2024-550400"/>
    <d v="2024-08-19T00:00:00"/>
    <d v="2024-09-02T00:00:00"/>
    <n v="14"/>
    <x v="2"/>
    <x v="3"/>
    <s v="Toronto"/>
    <s v="Consumer"/>
    <s v="Distributor"/>
    <x v="0"/>
    <s v="Printers"/>
    <x v="599"/>
    <n v="1337.01"/>
    <n v="1269.78"/>
    <n v="0.16"/>
    <n v="7"/>
    <x v="601"/>
    <n v="9359.07"/>
    <n v="1892.7636000000011"/>
    <n v="0.25350735672996244"/>
    <x v="21"/>
  </r>
  <r>
    <s v="ORD-2025-189846"/>
    <d v="2025-08-11T00:00:00"/>
    <d v="2025-08-28T00:00:00"/>
    <n v="17"/>
    <x v="3"/>
    <x v="7"/>
    <s v="Paris"/>
    <s v="Education"/>
    <s v="Online"/>
    <x v="9"/>
    <s v="Networking"/>
    <x v="600"/>
    <n v="416.16"/>
    <n v="571.9"/>
    <n v="7.0999999999999994E-2"/>
    <n v="2"/>
    <x v="602"/>
    <n v="832.32"/>
    <n v="230.27020000000005"/>
    <n v="0.21670649701079497"/>
    <x v="28"/>
  </r>
  <r>
    <s v="ORD-2025-752192"/>
    <d v="2025-05-16T00:00:00"/>
    <d v="2025-05-18T00:00:00"/>
    <n v="2"/>
    <x v="1"/>
    <x v="2"/>
    <s v="Tokyo"/>
    <s v="Enterprise"/>
    <s v="Retail"/>
    <x v="1"/>
    <s v="Printers"/>
    <x v="601"/>
    <n v="1144.3800000000001"/>
    <n v="2755.04"/>
    <n v="0.15"/>
    <n v="17"/>
    <x v="603"/>
    <n v="19454.460000000003"/>
    <n v="20355.867999999999"/>
    <n v="0.51132128326096682"/>
    <x v="8"/>
  </r>
  <r>
    <s v="ORD-2023-294716"/>
    <d v="2023-04-10T00:00:00"/>
    <d v="2023-04-25T00:00:00"/>
    <n v="15"/>
    <x v="3"/>
    <x v="8"/>
    <s v="London"/>
    <s v="Small Business"/>
    <s v="Retail"/>
    <x v="14"/>
    <s v="Printers"/>
    <x v="602"/>
    <n v="405.66"/>
    <n v="962.51"/>
    <n v="0.19"/>
    <n v="7"/>
    <x v="604"/>
    <n v="2839.6200000000003"/>
    <n v="2617.8116999999997"/>
    <n v="0.47967832561239376"/>
    <x v="12"/>
  </r>
  <r>
    <s v="ORD-2023-552115"/>
    <d v="2023-09-17T00:00:00"/>
    <d v="2023-10-02T00:00:00"/>
    <n v="15"/>
    <x v="2"/>
    <x v="5"/>
    <s v="Rio de Janeiro"/>
    <s v="Small Business"/>
    <s v="Retail"/>
    <x v="5"/>
    <s v="Laptops"/>
    <x v="603"/>
    <n v="689.33"/>
    <n v="668.27"/>
    <n v="0.186"/>
    <n v="13"/>
    <x v="605"/>
    <n v="8961.2900000000009"/>
    <n v="1889.6568600000001"/>
    <n v="0.26721647214861033"/>
    <x v="27"/>
  </r>
  <r>
    <s v="ORD-2023-107265"/>
    <d v="2023-04-22T00:00:00"/>
    <d v="2023-05-14T00:00:00"/>
    <n v="22"/>
    <x v="1"/>
    <x v="2"/>
    <s v="Nagoya"/>
    <s v="Enterprise"/>
    <s v="Retail"/>
    <x v="8"/>
    <s v="Accessories"/>
    <x v="604"/>
    <n v="1209.22"/>
    <n v="1404.33"/>
    <n v="0.10299999999999999"/>
    <n v="11"/>
    <x v="606"/>
    <n v="13301.42"/>
    <n v="555.10411000000022"/>
    <n v="4.0060848275751328E-2"/>
    <x v="12"/>
  </r>
  <r>
    <s v="ORD-2025-262434"/>
    <d v="2025-06-19T00:00:00"/>
    <d v="2025-06-21T00:00:00"/>
    <n v="2"/>
    <x v="0"/>
    <x v="11"/>
    <s v="Johannesburg"/>
    <s v="Small Business"/>
    <s v="Uknown"/>
    <x v="10"/>
    <s v="Phones"/>
    <x v="605"/>
    <n v="1466.27"/>
    <n v="3589.89"/>
    <n v="9.7000000000000003E-2"/>
    <n v="9"/>
    <x v="607"/>
    <n v="13196.43"/>
    <n v="15978.606029999999"/>
    <n v="0.54768076425234147"/>
    <x v="16"/>
  </r>
  <r>
    <s v="ORD-2024-266562"/>
    <d v="2024-11-27T00:00:00"/>
    <d v="2024-12-24T00:00:00"/>
    <n v="27"/>
    <x v="0"/>
    <x v="0"/>
    <s v="Mombasa"/>
    <s v="Corporate"/>
    <s v="Distributor"/>
    <x v="5"/>
    <s v="Printers"/>
    <x v="606"/>
    <n v="143.33000000000001"/>
    <n v="233.51"/>
    <n v="0.16300000000000001"/>
    <n v="14"/>
    <x v="608"/>
    <n v="2006.6200000000001"/>
    <n v="729.65017999999986"/>
    <n v="0.26665867476580835"/>
    <x v="18"/>
  </r>
  <r>
    <s v="ORD-2024-838925"/>
    <d v="2024-01-28T00:00:00"/>
    <d v="2024-01-27T00:00:00"/>
    <n v="1"/>
    <x v="0"/>
    <x v="11"/>
    <s v="Cape Town"/>
    <s v="Enterprise"/>
    <s v="Direct"/>
    <x v="7"/>
    <s v="Components"/>
    <x v="607"/>
    <n v="109.75"/>
    <n v="124.25"/>
    <n v="0.12"/>
    <n v="19"/>
    <x v="609"/>
    <n v="2085.25"/>
    <n v="7.7899999999999636"/>
    <n v="3.7497713554051405E-3"/>
    <x v="9"/>
  </r>
  <r>
    <s v="ORD-2023-664790"/>
    <d v="2023-04-16T00:00:00"/>
    <d v="2023-04-23T00:00:00"/>
    <n v="7"/>
    <x v="2"/>
    <x v="10"/>
    <s v="Austin"/>
    <s v="Corporate"/>
    <s v="Distributor"/>
    <x v="7"/>
    <s v="Printers"/>
    <x v="608"/>
    <n v="1099.1500000000001"/>
    <n v="1431.37"/>
    <n v="0.104"/>
    <n v="8"/>
    <x v="610"/>
    <n v="8793.2000000000007"/>
    <n v="1466.8601599999984"/>
    <n v="0.14296798821109433"/>
    <x v="12"/>
  </r>
  <r>
    <s v="ORD-2024-331408"/>
    <d v="2024-02-01T00:00:00"/>
    <d v="2024-02-01T00:00:00"/>
    <n v="0"/>
    <x v="2"/>
    <x v="10"/>
    <s v="Austin"/>
    <s v="Consumer"/>
    <s v="Distributor"/>
    <x v="10"/>
    <s v="Printers"/>
    <x v="609"/>
    <n v="714.43"/>
    <n v="1595.52"/>
    <n v="0.19400000000000001"/>
    <n v="14"/>
    <x v="611"/>
    <n v="10002.019999999999"/>
    <n v="8001.8276800000003"/>
    <n v="0.44445097638151093"/>
    <x v="31"/>
  </r>
  <r>
    <s v="ORD-2024-741404"/>
    <d v="2024-10-19T00:00:00"/>
    <d v="2024-11-06T00:00:00"/>
    <n v="18"/>
    <x v="2"/>
    <x v="10"/>
    <s v="Chicago"/>
    <s v="Education"/>
    <s v="Uknown"/>
    <x v="0"/>
    <s v="Monitors"/>
    <x v="610"/>
    <n v="942.02"/>
    <n v="1028.46"/>
    <n v="0"/>
    <n v="9"/>
    <x v="612"/>
    <n v="8478.18"/>
    <n v="777.95999999999913"/>
    <n v="8.4047994088248354E-2"/>
    <x v="1"/>
  </r>
  <r>
    <s v="ORD-2024-341535"/>
    <d v="2024-06-25T00:00:00"/>
    <d v="2024-06-30T00:00:00"/>
    <n v="5"/>
    <x v="0"/>
    <x v="0"/>
    <s v="Kisumu"/>
    <s v="Education"/>
    <s v="Direct"/>
    <x v="12"/>
    <s v="Networking"/>
    <x v="611"/>
    <n v="1323.55"/>
    <n v="3230.35"/>
    <n v="2.1999999999999999E-2"/>
    <n v="26"/>
    <x v="613"/>
    <n v="34412.299999999996"/>
    <n v="47729.039799999991"/>
    <n v="0.58105991351263542"/>
    <x v="17"/>
  </r>
  <r>
    <s v="ORD-2023-451931"/>
    <d v="2023-07-30T00:00:00"/>
    <d v="2023-08-19T00:00:00"/>
    <n v="20"/>
    <x v="3"/>
    <x v="7"/>
    <s v="Paris"/>
    <s v="Enterprise"/>
    <s v="Marketplace"/>
    <x v="3"/>
    <s v="Networking"/>
    <x v="612"/>
    <n v="1418.51"/>
    <n v="2789.61"/>
    <n v="0.17100000000000001"/>
    <n v="8"/>
    <x v="614"/>
    <n v="11348.08"/>
    <n v="7152.6135200000008"/>
    <n v="0.38661326464695689"/>
    <x v="24"/>
  </r>
  <r>
    <s v="ORD-2025-532859"/>
    <d v="2025-03-11T00:00:00"/>
    <d v="2025-03-27T00:00:00"/>
    <n v="16"/>
    <x v="1"/>
    <x v="2"/>
    <s v="Tokyo"/>
    <s v="Enterprise"/>
    <s v="Distributor"/>
    <x v="5"/>
    <s v="Printers"/>
    <x v="613"/>
    <n v="1317.58"/>
    <n v="1897.74"/>
    <n v="8.1000000000000003E-2"/>
    <n v="6"/>
    <x v="615"/>
    <n v="7905.48"/>
    <n v="2558.6583600000013"/>
    <n v="0.24451687009230266"/>
    <x v="3"/>
  </r>
  <r>
    <s v="ORD-2023-502205"/>
    <d v="2023-10-09T00:00:00"/>
    <d v="2023-10-11T00:00:00"/>
    <n v="2"/>
    <x v="0"/>
    <x v="1"/>
    <s v="Port Harcourt"/>
    <s v="Education"/>
    <s v="Marketplace"/>
    <x v="11"/>
    <s v="Networking"/>
    <x v="614"/>
    <n v="391.16"/>
    <n v="902.47"/>
    <n v="4.0000000000000001E-3"/>
    <n v="12"/>
    <x v="616"/>
    <n v="4693.92"/>
    <n v="6092.4014399999996"/>
    <n v="0.56482661618139207"/>
    <x v="32"/>
  </r>
  <r>
    <s v="ORD-2024-930679"/>
    <d v="2024-12-17T00:00:00"/>
    <d v="2025-01-16T00:00:00"/>
    <n v="30"/>
    <x v="3"/>
    <x v="8"/>
    <s v="Manchester"/>
    <s v="Corporate"/>
    <s v="Retail"/>
    <x v="14"/>
    <s v="Monitors"/>
    <x v="615"/>
    <n v="722.87"/>
    <n v="-33.659999999999997"/>
    <n v="0.10199999999999999"/>
    <n v="28"/>
    <x v="617"/>
    <n v="20240.36"/>
    <n v="19394.01296"/>
    <n v="22.914965189693348"/>
    <x v="6"/>
  </r>
  <r>
    <s v="ORD-2025-150713"/>
    <d v="2025-07-11T00:00:00"/>
    <d v="2025-07-16T00:00:00"/>
    <n v="5"/>
    <x v="3"/>
    <x v="8"/>
    <s v="London"/>
    <s v="Enterprise"/>
    <s v="Online"/>
    <x v="11"/>
    <s v="Printers"/>
    <x v="616"/>
    <n v="930.03"/>
    <n v="1086.68"/>
    <n v="0.109"/>
    <n v="26"/>
    <x v="618"/>
    <n v="24180.78"/>
    <n v="993.24888000000283"/>
    <n v="3.9455300728168656E-2"/>
    <x v="13"/>
  </r>
  <r>
    <s v="ORD-2024-756884"/>
    <d v="2024-10-13T00:00:00"/>
    <d v="2024-10-24T00:00:00"/>
    <n v="11"/>
    <x v="3"/>
    <x v="7"/>
    <s v="Paris"/>
    <s v="Education"/>
    <s v="Distributor"/>
    <x v="9"/>
    <s v="Components"/>
    <x v="617"/>
    <n v="816.7"/>
    <n v="1010.75"/>
    <n v="4.7E-2"/>
    <n v="43"/>
    <x v="619"/>
    <n v="35118.1"/>
    <n v="6301.4242499999964"/>
    <n v="0.15213656757537472"/>
    <x v="1"/>
  </r>
  <r>
    <s v="ORD-2023-755337"/>
    <d v="2023-09-08T00:00:00"/>
    <d v="2023-09-14T00:00:00"/>
    <n v="6"/>
    <x v="0"/>
    <x v="0"/>
    <s v="Nakuru"/>
    <s v="Education"/>
    <s v="Direct"/>
    <x v="2"/>
    <s v="Accessories"/>
    <x v="618"/>
    <n v="251.03"/>
    <n v="411.48"/>
    <n v="0.16500000000000001"/>
    <n v="3"/>
    <x v="620"/>
    <n v="753.09"/>
    <n v="277.66739999999993"/>
    <n v="0.26938191275658069"/>
    <x v="27"/>
  </r>
  <r>
    <s v="ORD-2025-907040"/>
    <d v="2025-04-17T00:00:00"/>
    <d v="2025-05-03T00:00:00"/>
    <n v="16"/>
    <x v="2"/>
    <x v="5"/>
    <s v="Rio de Janeiro"/>
    <s v="Consumer"/>
    <s v="Marketplace"/>
    <x v="1"/>
    <s v="Networking"/>
    <x v="619"/>
    <n v="168.68"/>
    <n v="413.34"/>
    <n v="0.186"/>
    <n v="7"/>
    <x v="621"/>
    <n v="1180.76"/>
    <n v="1174.4513199999999"/>
    <n v="0.49866069767361682"/>
    <x v="19"/>
  </r>
  <r>
    <s v="ORD-2024-817997"/>
    <d v="2024-07-28T00:00:00"/>
    <d v="2024-08-23T00:00:00"/>
    <n v="26"/>
    <x v="1"/>
    <x v="4"/>
    <s v="Hyderabad"/>
    <s v="Corporate"/>
    <s v="Retail"/>
    <x v="1"/>
    <s v="Networking"/>
    <x v="620"/>
    <n v="1339.24"/>
    <n v="1558.89"/>
    <n v="0.192"/>
    <n v="24"/>
    <x v="622"/>
    <n v="32141.760000000002"/>
    <n v="1911.76512"/>
    <n v="6.3240669659021781E-2"/>
    <x v="14"/>
  </r>
  <r>
    <s v="ORD-2025-649633"/>
    <d v="2025-07-19T00:00:00"/>
    <d v="2025-07-31T00:00:00"/>
    <n v="12"/>
    <x v="0"/>
    <x v="0"/>
    <s v="Nairobi"/>
    <s v="Small Business"/>
    <s v="Marketplace"/>
    <x v="7"/>
    <s v="Accessories"/>
    <x v="621"/>
    <n v="619.64"/>
    <n v="861.16"/>
    <n v="0.113"/>
    <n v="14"/>
    <x v="623"/>
    <n v="8674.9599999999991"/>
    <n v="2018.9248800000005"/>
    <n v="0.18879246435276761"/>
    <x v="13"/>
  </r>
  <r>
    <s v="ORD-2023-885216"/>
    <d v="2023-08-03T00:00:00"/>
    <d v="2023-08-02T00:00:00"/>
    <n v="1"/>
    <x v="1"/>
    <x v="9"/>
    <s v="Shanghai"/>
    <s v="Non-Profit"/>
    <s v="Direct"/>
    <x v="1"/>
    <s v="Networking"/>
    <x v="622"/>
    <n v="1021.97"/>
    <n v="2296.25"/>
    <n v="0.161"/>
    <n v="26"/>
    <x v="624"/>
    <n v="26571.22"/>
    <n v="23519.177499999998"/>
    <n v="0.46953465482081669"/>
    <x v="25"/>
  </r>
  <r>
    <s v="ORD-2023-561823"/>
    <d v="2023-11-19T00:00:00"/>
    <d v="2023-12-12T00:00:00"/>
    <n v="23"/>
    <x v="1"/>
    <x v="4"/>
    <s v="Delhi"/>
    <s v="Small Business"/>
    <s v="Direct"/>
    <x v="0"/>
    <s v="Networking"/>
    <x v="623"/>
    <n v="1349.04"/>
    <n v="2636.6"/>
    <n v="0.114"/>
    <n v="14"/>
    <x v="625"/>
    <n v="18886.559999999998"/>
    <n v="13817.826400000005"/>
    <n v="0.42250682312143928"/>
    <x v="30"/>
  </r>
  <r>
    <s v="ORD-2023-249805"/>
    <d v="2023-12-22T00:00:00"/>
    <d v="2024-01-16T00:00:00"/>
    <n v="25"/>
    <x v="1"/>
    <x v="4"/>
    <s v="Hyderabad"/>
    <s v="Small Business"/>
    <s v="Retail"/>
    <x v="8"/>
    <s v="Components"/>
    <x v="624"/>
    <n v="1346.81"/>
    <n v="978.09"/>
    <n v="0.159"/>
    <n v="17"/>
    <x v="626"/>
    <n v="22895.77"/>
    <n v="8912.0172700000021"/>
    <n v="0.6373122753293996"/>
    <x v="4"/>
  </r>
  <r>
    <s v="ORD-2023-548934"/>
    <d v="2023-08-03T00:00:00"/>
    <d v="2023-08-30T00:00:00"/>
    <n v="27"/>
    <x v="1"/>
    <x v="9"/>
    <s v="Shanghai"/>
    <s v="Consumer"/>
    <s v="Distributor"/>
    <x v="13"/>
    <s v="Monitors"/>
    <x v="625"/>
    <n v="226.04"/>
    <n v="545.72"/>
    <n v="0.151"/>
    <n v="11"/>
    <x v="627"/>
    <n v="2486.44"/>
    <n v="2610.03908"/>
    <n v="0.51212592831834014"/>
    <x v="25"/>
  </r>
  <r>
    <s v="ORD-2023-921939"/>
    <d v="2023-06-23T00:00:00"/>
    <d v="2023-07-18T00:00:00"/>
    <n v="25"/>
    <x v="2"/>
    <x v="3"/>
    <s v="Vancouver"/>
    <s v="Enterprise"/>
    <s v="Online"/>
    <x v="13"/>
    <s v="Phones"/>
    <x v="626"/>
    <n v="807.02"/>
    <n v="1435.54"/>
    <n v="0"/>
    <n v="23"/>
    <x v="628"/>
    <n v="18561.46"/>
    <n v="14455.96"/>
    <n v="0.43782827368098415"/>
    <x v="23"/>
  </r>
  <r>
    <s v="ORD-2023-961864"/>
    <d v="2023-12-07T00:00:00"/>
    <d v="2024-01-02T00:00:00"/>
    <n v="26"/>
    <x v="3"/>
    <x v="6"/>
    <s v="Frankfurt"/>
    <s v="Enterprise"/>
    <s v="Distributor"/>
    <x v="6"/>
    <s v="Components"/>
    <x v="627"/>
    <n v="1071.99"/>
    <n v="2397.3000000000002"/>
    <n v="6.2E-2"/>
    <n v="18"/>
    <x v="629"/>
    <n v="19295.82"/>
    <n v="21180.193200000002"/>
    <n v="0.52327765324476183"/>
    <x v="4"/>
  </r>
  <r>
    <s v="ORD-2023-455933"/>
    <d v="2023-11-19T00:00:00"/>
    <d v="2023-12-19T00:00:00"/>
    <n v="30"/>
    <x v="1"/>
    <x v="2"/>
    <s v="Nagoya"/>
    <s v="Consumer"/>
    <s v="Retail"/>
    <x v="15"/>
    <s v="Phones"/>
    <x v="628"/>
    <n v="807.11"/>
    <n v="1853.86"/>
    <n v="0.13900000000000001"/>
    <n v="8"/>
    <x v="630"/>
    <n v="6456.88"/>
    <n v="6312.5076799999997"/>
    <n v="0.49434693645388639"/>
    <x v="30"/>
  </r>
  <r>
    <s v="ORD-2025-728935"/>
    <d v="2025-02-28T00:00:00"/>
    <d v="2025-03-10T00:00:00"/>
    <n v="10"/>
    <x v="1"/>
    <x v="2"/>
    <s v="Osaka"/>
    <s v="Education"/>
    <s v="Distributor"/>
    <x v="13"/>
    <s v="Laptops"/>
    <x v="629"/>
    <n v="51.86"/>
    <n v="45.98"/>
    <n v="0.17299999999999999"/>
    <n v="7"/>
    <x v="631"/>
    <n v="363.02"/>
    <n v="96.841780000000028"/>
    <n v="0.3638230806412337"/>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8592C0-49EA-4B8A-9DD3-D690E42C5EB0}"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9:F22" firstHeaderRow="1" firstDataRow="1" firstDataCol="1"/>
  <pivotFields count="22">
    <pivotField showAll="0"/>
    <pivotField numFmtId="164" showAll="0"/>
    <pivotField numFmtId="164" showAll="0"/>
    <pivotField numFmtId="1" showAll="0"/>
    <pivotField showAll="0"/>
    <pivotField axis="axisRow" showAll="0">
      <items count="13">
        <item x="5"/>
        <item x="3"/>
        <item x="9"/>
        <item x="7"/>
        <item x="6"/>
        <item x="4"/>
        <item x="2"/>
        <item x="0"/>
        <item x="1"/>
        <item x="11"/>
        <item x="8"/>
        <item x="10"/>
        <item t="default"/>
      </items>
    </pivotField>
    <pivotField showAll="0"/>
    <pivotField showAll="0"/>
    <pivotField showAll="0"/>
    <pivotField showAll="0">
      <items count="17">
        <item x="8"/>
        <item x="5"/>
        <item x="0"/>
        <item x="14"/>
        <item x="6"/>
        <item x="9"/>
        <item x="3"/>
        <item x="10"/>
        <item x="2"/>
        <item x="1"/>
        <item x="11"/>
        <item x="4"/>
        <item x="12"/>
        <item x="13"/>
        <item x="7"/>
        <item x="15"/>
        <item t="default"/>
      </items>
    </pivotField>
    <pivotField showAll="0"/>
    <pivotField showAll="0"/>
    <pivotField showAll="0"/>
    <pivotField showAll="0"/>
    <pivotField showAll="0"/>
    <pivotField showAll="0"/>
    <pivotField showAll="0"/>
    <pivotField showAll="0"/>
    <pivotField dataField="1"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dragToRow="0" dragToCol="0" dragToPage="0" showAll="0" defaultSubtotal="0"/>
  </pivotFields>
  <rowFields count="1">
    <field x="5"/>
  </rowFields>
  <rowItems count="13">
    <i>
      <x/>
    </i>
    <i>
      <x v="1"/>
    </i>
    <i>
      <x v="2"/>
    </i>
    <i>
      <x v="3"/>
    </i>
    <i>
      <x v="4"/>
    </i>
    <i>
      <x v="5"/>
    </i>
    <i>
      <x v="6"/>
    </i>
    <i>
      <x v="7"/>
    </i>
    <i>
      <x v="8"/>
    </i>
    <i>
      <x v="9"/>
    </i>
    <i>
      <x v="10"/>
    </i>
    <i>
      <x v="11"/>
    </i>
    <i t="grand">
      <x/>
    </i>
  </rowItems>
  <colItems count="1">
    <i/>
  </colItems>
  <dataFields count="1">
    <dataField name="Sum of GrossProfit" fld="18"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561DD9-2247-4D81-A3D3-9E98FEBC1411}"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9:I26" firstHeaderRow="1" firstDataRow="1" firstDataCol="1"/>
  <pivotFields count="22">
    <pivotField showAll="0"/>
    <pivotField numFmtId="164" showAll="0"/>
    <pivotField numFmtId="164" showAll="0"/>
    <pivotField numFmtId="1" showAll="0"/>
    <pivotField showAll="0"/>
    <pivotField showAll="0"/>
    <pivotField showAll="0"/>
    <pivotField showAll="0"/>
    <pivotField showAll="0"/>
    <pivotField axis="axisRow" showAll="0">
      <items count="17">
        <item x="8"/>
        <item x="5"/>
        <item x="0"/>
        <item x="14"/>
        <item x="6"/>
        <item x="9"/>
        <item x="3"/>
        <item x="10"/>
        <item x="2"/>
        <item x="1"/>
        <item x="11"/>
        <item x="4"/>
        <item x="12"/>
        <item x="13"/>
        <item x="7"/>
        <item x="15"/>
        <item t="default"/>
      </items>
    </pivotField>
    <pivotField showAll="0"/>
    <pivotField showAll="0"/>
    <pivotField showAll="0"/>
    <pivotField showAll="0"/>
    <pivotField dataField="1" showAll="0"/>
    <pivotField showAll="0"/>
    <pivotField showAll="0"/>
    <pivotField showAll="0"/>
    <pivotField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dragToRow="0" dragToCol="0" dragToPage="0" showAll="0" defaultSubtotal="0"/>
  </pivotFields>
  <rowFields count="1">
    <field x="9"/>
  </rowFields>
  <rowItems count="17">
    <i>
      <x/>
    </i>
    <i>
      <x v="1"/>
    </i>
    <i>
      <x v="2"/>
    </i>
    <i>
      <x v="3"/>
    </i>
    <i>
      <x v="4"/>
    </i>
    <i>
      <x v="5"/>
    </i>
    <i>
      <x v="6"/>
    </i>
    <i>
      <x v="7"/>
    </i>
    <i>
      <x v="8"/>
    </i>
    <i>
      <x v="9"/>
    </i>
    <i>
      <x v="10"/>
    </i>
    <i>
      <x v="11"/>
    </i>
    <i>
      <x v="12"/>
    </i>
    <i>
      <x v="13"/>
    </i>
    <i>
      <x v="14"/>
    </i>
    <i>
      <x v="15"/>
    </i>
    <i t="grand">
      <x/>
    </i>
  </rowItems>
  <colItems count="1">
    <i/>
  </colItems>
  <dataFields count="1">
    <dataField name="Max of DiscountPct" fld="14" subtotal="max"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EBCDC8-1963-4C34-B8CA-9A4A21B3C16A}"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8:B29" firstHeaderRow="1" firstDataRow="1" firstDataCol="1"/>
  <pivotFields count="22">
    <pivotField showAll="0"/>
    <pivotField numFmtId="164" showAll="0"/>
    <pivotField numFmtId="164" showAll="0"/>
    <pivotField numFmtId="1" showAll="0"/>
    <pivotField showAll="0"/>
    <pivotField showAll="0"/>
    <pivotField showAll="0"/>
    <pivotField showAll="0"/>
    <pivotField showAll="0"/>
    <pivotField showAll="0"/>
    <pivotField showAll="0"/>
    <pivotField axis="axisRow" showAll="0" measureFilter="1">
      <items count="631">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t="default"/>
      </items>
    </pivotField>
    <pivotField showAll="0"/>
    <pivotField showAll="0"/>
    <pivotField showAll="0"/>
    <pivotField showAll="0"/>
    <pivotField dataField="1" showAll="0"/>
    <pivotField showAll="0"/>
    <pivotField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dragToRow="0" dragToCol="0" dragToPage="0" showAll="0" defaultSubtotal="0"/>
  </pivotFields>
  <rowFields count="1">
    <field x="11"/>
  </rowFields>
  <rowItems count="11">
    <i>
      <x v="117"/>
    </i>
    <i>
      <x v="171"/>
    </i>
    <i>
      <x v="207"/>
    </i>
    <i>
      <x v="248"/>
    </i>
    <i>
      <x v="270"/>
    </i>
    <i>
      <x v="319"/>
    </i>
    <i>
      <x v="323"/>
    </i>
    <i>
      <x v="368"/>
    </i>
    <i>
      <x v="403"/>
    </i>
    <i>
      <x v="405"/>
    </i>
    <i t="grand">
      <x/>
    </i>
  </rowItems>
  <colItems count="1">
    <i/>
  </colItems>
  <dataFields count="1">
    <dataField name="Sum of GrossRevenue" fld="16"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D27F63-D4BF-4D9C-830F-BAF76910F58C}"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B14" firstHeaderRow="1" firstDataRow="1" firstDataCol="1"/>
  <pivotFields count="22">
    <pivotField showAll="0"/>
    <pivotField numFmtId="164" showAll="0"/>
    <pivotField numFmtId="164" showAll="0"/>
    <pivotField numFmtId="1"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633">
        <item x="180"/>
        <item x="112"/>
        <item x="298"/>
        <item x="286"/>
        <item x="172"/>
        <item x="493"/>
        <item x="96"/>
        <item x="54"/>
        <item x="631"/>
        <item x="58"/>
        <item x="2"/>
        <item x="177"/>
        <item x="586"/>
        <item x="389"/>
        <item x="575"/>
        <item x="106"/>
        <item x="83"/>
        <item x="532"/>
        <item x="109"/>
        <item x="263"/>
        <item x="119"/>
        <item x="51"/>
        <item x="247"/>
        <item x="531"/>
        <item x="89"/>
        <item x="230"/>
        <item x="282"/>
        <item x="7"/>
        <item x="323"/>
        <item x="418"/>
        <item x="243"/>
        <item x="116"/>
        <item x="572"/>
        <item x="617"/>
        <item x="127"/>
        <item x="519"/>
        <item x="311"/>
        <item x="221"/>
        <item x="461"/>
        <item x="476"/>
        <item x="517"/>
        <item x="620"/>
        <item x="602"/>
        <item x="291"/>
        <item x="341"/>
        <item x="354"/>
        <item x="139"/>
        <item x="114"/>
        <item x="490"/>
        <item x="305"/>
        <item x="87"/>
        <item x="108"/>
        <item x="460"/>
        <item x="26"/>
        <item x="211"/>
        <item x="582"/>
        <item x="464"/>
        <item x="551"/>
        <item x="463"/>
        <item x="445"/>
        <item x="434"/>
        <item x="174"/>
        <item x="412"/>
        <item x="124"/>
        <item x="609"/>
        <item x="113"/>
        <item x="526"/>
        <item x="347"/>
        <item x="217"/>
        <item x="169"/>
        <item x="621"/>
        <item x="326"/>
        <item x="257"/>
        <item x="53"/>
        <item x="391"/>
        <item x="330"/>
        <item x="432"/>
        <item x="128"/>
        <item x="466"/>
        <item x="608"/>
        <item x="439"/>
        <item x="232"/>
        <item x="6"/>
        <item x="245"/>
        <item x="318"/>
        <item x="338"/>
        <item x="597"/>
        <item x="344"/>
        <item x="297"/>
        <item x="540"/>
        <item x="570"/>
        <item x="133"/>
        <item x="511"/>
        <item x="39"/>
        <item x="146"/>
        <item x="248"/>
        <item x="307"/>
        <item x="327"/>
        <item x="239"/>
        <item x="584"/>
        <item x="28"/>
        <item x="508"/>
        <item x="194"/>
        <item x="285"/>
        <item x="27"/>
        <item x="488"/>
        <item x="462"/>
        <item x="358"/>
        <item x="373"/>
        <item x="350"/>
        <item x="370"/>
        <item x="152"/>
        <item x="5"/>
        <item x="477"/>
        <item x="565"/>
        <item x="296"/>
        <item x="579"/>
        <item x="137"/>
        <item x="258"/>
        <item x="193"/>
        <item x="598"/>
        <item x="131"/>
        <item x="179"/>
        <item x="74"/>
        <item x="240"/>
        <item x="222"/>
        <item x="369"/>
        <item x="59"/>
        <item x="571"/>
        <item x="201"/>
        <item x="408"/>
        <item x="495"/>
        <item x="543"/>
        <item x="481"/>
        <item x="57"/>
        <item x="361"/>
        <item x="546"/>
        <item x="186"/>
        <item x="334"/>
        <item x="0"/>
        <item x="79"/>
        <item x="12"/>
        <item x="314"/>
        <item x="627"/>
        <item x="483"/>
        <item x="486"/>
        <item x="513"/>
        <item x="3"/>
        <item x="403"/>
        <item x="233"/>
        <item x="410"/>
        <item x="98"/>
        <item x="82"/>
        <item x="308"/>
        <item x="604"/>
        <item x="94"/>
        <item x="227"/>
        <item x="436"/>
        <item x="447"/>
        <item x="333"/>
        <item x="161"/>
        <item x="593"/>
        <item x="118"/>
        <item x="52"/>
        <item x="231"/>
        <item x="304"/>
        <item x="443"/>
        <item x="103"/>
        <item x="599"/>
        <item x="485"/>
        <item x="277"/>
        <item x="581"/>
        <item x="328"/>
        <item x="101"/>
        <item x="71"/>
        <item x="524"/>
        <item x="254"/>
        <item x="218"/>
        <item x="378"/>
        <item x="35"/>
        <item x="491"/>
        <item x="238"/>
        <item x="206"/>
        <item x="578"/>
        <item x="561"/>
        <item x="168"/>
        <item x="75"/>
        <item x="411"/>
        <item x="268"/>
        <item x="212"/>
        <item x="605"/>
        <item x="15"/>
        <item x="178"/>
        <item x="332"/>
        <item x="271"/>
        <item x="46"/>
        <item x="580"/>
        <item x="156"/>
        <item x="270"/>
        <item x="363"/>
        <item x="437"/>
        <item x="293"/>
        <item x="520"/>
        <item x="501"/>
        <item x="229"/>
        <item x="601"/>
        <item x="321"/>
        <item x="492"/>
        <item x="259"/>
        <item x="14"/>
        <item x="458"/>
        <item x="269"/>
        <item x="182"/>
        <item x="130"/>
        <item x="216"/>
        <item x="536"/>
        <item x="404"/>
        <item x="214"/>
        <item x="457"/>
        <item x="150"/>
        <item x="417"/>
        <item x="303"/>
        <item x="596"/>
        <item x="162"/>
        <item x="262"/>
        <item x="141"/>
        <item x="509"/>
        <item x="90"/>
        <item x="525"/>
        <item x="473"/>
        <item x="132"/>
        <item x="198"/>
        <item x="594"/>
        <item x="563"/>
        <item x="275"/>
        <item x="189"/>
        <item x="25"/>
        <item x="503"/>
        <item x="498"/>
        <item x="68"/>
        <item x="183"/>
        <item x="191"/>
        <item x="331"/>
        <item x="315"/>
        <item x="294"/>
        <item x="279"/>
        <item x="155"/>
        <item x="125"/>
        <item x="171"/>
        <item x="69"/>
        <item x="343"/>
        <item x="590"/>
        <item x="316"/>
        <item x="510"/>
        <item x="612"/>
        <item x="530"/>
        <item x="73"/>
        <item x="419"/>
        <item x="386"/>
        <item x="489"/>
        <item x="32"/>
        <item x="241"/>
        <item x="136"/>
        <item x="446"/>
        <item x="246"/>
        <item x="30"/>
        <item x="518"/>
        <item x="325"/>
        <item x="309"/>
        <item x="301"/>
        <item x="143"/>
        <item x="421"/>
        <item x="92"/>
        <item x="564"/>
        <item x="504"/>
        <item x="610"/>
        <item x="11"/>
        <item x="158"/>
        <item x="185"/>
        <item x="470"/>
        <item x="78"/>
        <item x="289"/>
        <item x="615"/>
        <item x="558"/>
        <item x="41"/>
        <item x="70"/>
        <item x="43"/>
        <item x="623"/>
        <item x="616"/>
        <item x="545"/>
        <item x="123"/>
        <item x="515"/>
        <item x="502"/>
        <item x="416"/>
        <item x="22"/>
        <item x="549"/>
        <item x="62"/>
        <item x="4"/>
        <item x="154"/>
        <item x="312"/>
        <item x="393"/>
        <item x="197"/>
        <item x="380"/>
        <item x="527"/>
        <item x="274"/>
        <item x="283"/>
        <item x="591"/>
        <item x="249"/>
        <item x="88"/>
        <item x="164"/>
        <item x="494"/>
        <item x="533"/>
        <item x="453"/>
        <item x="37"/>
        <item x="134"/>
        <item x="589"/>
        <item x="105"/>
        <item x="576"/>
        <item x="65"/>
        <item x="250"/>
        <item x="163"/>
        <item x="349"/>
        <item x="244"/>
        <item x="449"/>
        <item x="104"/>
        <item x="167"/>
        <item x="450"/>
        <item x="265"/>
        <item x="441"/>
        <item x="299"/>
        <item x="364"/>
        <item x="630"/>
        <item x="381"/>
        <item x="145"/>
        <item x="430"/>
        <item x="433"/>
        <item x="399"/>
        <item x="281"/>
        <item x="559"/>
        <item x="85"/>
        <item x="398"/>
        <item x="33"/>
        <item x="560"/>
        <item x="147"/>
        <item x="405"/>
        <item x="428"/>
        <item x="220"/>
        <item x="345"/>
        <item x="102"/>
        <item x="368"/>
        <item x="606"/>
        <item x="577"/>
        <item x="626"/>
        <item x="388"/>
        <item x="544"/>
        <item x="86"/>
        <item x="467"/>
        <item x="234"/>
        <item x="67"/>
        <item x="395"/>
        <item x="166"/>
        <item x="574"/>
        <item x="420"/>
        <item x="170"/>
        <item x="8"/>
        <item x="455"/>
        <item x="359"/>
        <item x="148"/>
        <item x="50"/>
        <item x="595"/>
        <item x="200"/>
        <item x="38"/>
        <item x="535"/>
        <item x="215"/>
        <item x="384"/>
        <item x="507"/>
        <item x="377"/>
        <item x="425"/>
        <item x="472"/>
        <item x="224"/>
        <item x="284"/>
        <item x="547"/>
        <item x="176"/>
        <item x="208"/>
        <item x="554"/>
        <item x="10"/>
        <item x="66"/>
        <item x="122"/>
        <item x="129"/>
        <item x="523"/>
        <item x="413"/>
        <item x="390"/>
        <item x="335"/>
        <item x="469"/>
        <item x="317"/>
        <item x="351"/>
        <item x="499"/>
        <item x="228"/>
        <item x="371"/>
        <item x="402"/>
        <item x="340"/>
        <item x="235"/>
        <item x="401"/>
        <item x="280"/>
        <item x="251"/>
        <item x="566"/>
        <item x="267"/>
        <item x="252"/>
        <item x="400"/>
        <item x="209"/>
        <item x="44"/>
        <item x="1"/>
        <item x="261"/>
        <item x="611"/>
        <item x="210"/>
        <item x="81"/>
        <item x="415"/>
        <item x="614"/>
        <item x="367"/>
        <item x="397"/>
        <item x="552"/>
        <item x="36"/>
        <item x="290"/>
        <item x="256"/>
        <item x="573"/>
        <item x="474"/>
        <item x="91"/>
        <item x="190"/>
        <item x="366"/>
        <item x="541"/>
        <item x="451"/>
        <item x="427"/>
        <item x="387"/>
        <item x="394"/>
        <item x="21"/>
        <item x="287"/>
        <item x="342"/>
        <item x="93"/>
        <item x="29"/>
        <item x="553"/>
        <item x="72"/>
        <item x="23"/>
        <item x="500"/>
        <item x="538"/>
        <item x="295"/>
        <item x="440"/>
        <item x="456"/>
        <item x="84"/>
        <item x="407"/>
        <item x="151"/>
        <item x="225"/>
        <item x="365"/>
        <item x="13"/>
        <item x="444"/>
        <item x="196"/>
        <item x="484"/>
        <item x="160"/>
        <item x="385"/>
        <item x="516"/>
        <item x="320"/>
        <item x="406"/>
        <item x="522"/>
        <item x="479"/>
        <item x="585"/>
        <item x="260"/>
        <item x="121"/>
        <item x="454"/>
        <item x="355"/>
        <item x="292"/>
        <item x="409"/>
        <item x="107"/>
        <item x="452"/>
        <item x="20"/>
        <item x="157"/>
        <item x="255"/>
        <item x="213"/>
        <item x="438"/>
        <item x="459"/>
        <item x="192"/>
        <item x="115"/>
        <item x="24"/>
        <item x="568"/>
        <item x="587"/>
        <item x="618"/>
        <item x="497"/>
        <item x="468"/>
        <item x="202"/>
        <item x="253"/>
        <item x="99"/>
        <item x="204"/>
        <item x="300"/>
        <item x="144"/>
        <item x="16"/>
        <item x="324"/>
        <item x="339"/>
        <item x="205"/>
        <item x="31"/>
        <item x="64"/>
        <item x="184"/>
        <item x="352"/>
        <item x="187"/>
        <item x="288"/>
        <item x="348"/>
        <item x="475"/>
        <item x="435"/>
        <item x="34"/>
        <item x="135"/>
        <item x="110"/>
        <item x="61"/>
        <item x="329"/>
        <item x="188"/>
        <item x="219"/>
        <item x="336"/>
        <item x="207"/>
        <item x="487"/>
        <item x="607"/>
        <item x="159"/>
        <item x="273"/>
        <item x="423"/>
        <item x="153"/>
        <item x="56"/>
        <item x="550"/>
        <item x="111"/>
        <item x="622"/>
        <item x="426"/>
        <item x="226"/>
        <item x="42"/>
        <item x="542"/>
        <item x="496"/>
        <item x="310"/>
        <item x="374"/>
        <item x="195"/>
        <item x="442"/>
        <item x="414"/>
        <item x="173"/>
        <item x="55"/>
        <item x="548"/>
        <item x="142"/>
        <item x="372"/>
        <item x="505"/>
        <item x="45"/>
        <item x="625"/>
        <item x="628"/>
        <item x="77"/>
        <item x="562"/>
        <item x="379"/>
        <item x="514"/>
        <item x="529"/>
        <item x="555"/>
        <item x="60"/>
        <item x="600"/>
        <item x="242"/>
        <item x="97"/>
        <item x="569"/>
        <item x="49"/>
        <item x="272"/>
        <item x="506"/>
        <item x="353"/>
        <item x="278"/>
        <item x="360"/>
        <item x="17"/>
        <item x="76"/>
        <item x="138"/>
        <item x="48"/>
        <item x="482"/>
        <item x="471"/>
        <item x="236"/>
        <item x="382"/>
        <item x="18"/>
        <item x="375"/>
        <item x="337"/>
        <item x="266"/>
        <item x="19"/>
        <item x="120"/>
        <item x="322"/>
        <item x="302"/>
        <item x="603"/>
        <item x="264"/>
        <item x="313"/>
        <item x="629"/>
        <item x="480"/>
        <item x="583"/>
        <item x="40"/>
        <item x="429"/>
        <item x="181"/>
        <item x="619"/>
        <item x="478"/>
        <item x="534"/>
        <item x="149"/>
        <item x="306"/>
        <item x="95"/>
        <item x="376"/>
        <item x="356"/>
        <item x="567"/>
        <item x="448"/>
        <item x="556"/>
        <item x="383"/>
        <item x="203"/>
        <item x="392"/>
        <item x="357"/>
        <item x="624"/>
        <item x="512"/>
        <item x="557"/>
        <item x="537"/>
        <item x="592"/>
        <item x="100"/>
        <item x="319"/>
        <item x="199"/>
        <item x="396"/>
        <item x="431"/>
        <item x="424"/>
        <item x="528"/>
        <item x="80"/>
        <item x="9"/>
        <item x="521"/>
        <item x="126"/>
        <item x="117"/>
        <item x="539"/>
        <item x="223"/>
        <item x="588"/>
        <item x="63"/>
        <item x="346"/>
        <item x="276"/>
        <item x="613"/>
        <item x="362"/>
        <item x="465"/>
        <item x="165"/>
        <item x="140"/>
        <item x="175"/>
        <item x="422"/>
        <item x="47"/>
        <item x="237"/>
        <item t="default"/>
      </items>
    </pivotField>
    <pivotField showAll="0"/>
    <pivotField showAll="0"/>
    <pivotField showAll="0"/>
    <pivotField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dragToRow="0" dragToCol="0" dragToPage="0" showAll="0" defaultSubtotal="0"/>
  </pivotFields>
  <rowFields count="1">
    <field x="4"/>
  </rowFields>
  <rowItems count="5">
    <i>
      <x/>
    </i>
    <i>
      <x v="1"/>
    </i>
    <i>
      <x v="2"/>
    </i>
    <i>
      <x v="3"/>
    </i>
    <i t="grand">
      <x/>
    </i>
  </rowItems>
  <colItems count="1">
    <i/>
  </colItems>
  <dataFields count="1">
    <dataField name="Sum of GrossRevenue" fld="16" baseField="2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3C8BD2-0F16-4181-842F-4C15116A98B1}"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AI5" firstHeaderRow="1" firstDataRow="2" firstDataCol="1"/>
  <pivotFields count="22">
    <pivotField showAll="0"/>
    <pivotField numFmtId="164" showAll="0"/>
    <pivotField numFmtId="164"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Col" showAll="0">
      <items count="34">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t="default"/>
      </items>
    </pivotField>
    <pivotField dragToRow="0" dragToCol="0" dragToPage="0" showAll="0" defaultSubtotal="0"/>
  </pivotFields>
  <rowItems count="1">
    <i/>
  </rowItems>
  <colFields count="1">
    <field x="20"/>
  </colFields>
  <col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colItems>
  <dataFields count="1">
    <dataField name="Sum of GrossRevenue" fld="16"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EA2E99-6955-49EE-BB84-E1D8CD9B3872}" sourceName="Region">
  <pivotTables>
    <pivotTable tabId="4" name="PivotTable4"/>
  </pivotTables>
  <data>
    <tabular pivotCacheId="413093102">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CD3EA4C-6B33-4E44-B445-4D0834541CC4}" sourceName="Month">
  <pivotTables>
    <pivotTable tabId="4" name="PivotTable2"/>
  </pivotTables>
  <data>
    <tabular pivotCacheId="413093102">
      <items count="33">
        <i x="12" s="1"/>
        <i x="20" s="1"/>
        <i x="19" s="1"/>
        <i x="25" s="1"/>
        <i x="21" s="1"/>
        <i x="28" s="1"/>
        <i x="4" s="1"/>
        <i x="6" s="1"/>
        <i x="2" s="1"/>
        <i x="31" s="1"/>
        <i x="26" s="1"/>
        <i x="5" s="1"/>
        <i x="9" s="1"/>
        <i x="10" s="1"/>
        <i x="24" s="1"/>
        <i x="14" s="1"/>
        <i x="13" s="1"/>
        <i x="23" s="1"/>
        <i x="17" s="1"/>
        <i x="16" s="1"/>
        <i x="22" s="1"/>
        <i x="0" s="1"/>
        <i x="3" s="1"/>
        <i x="15" s="1"/>
        <i x="7" s="1"/>
        <i x="8" s="1"/>
        <i x="30" s="1"/>
        <i x="18" s="1"/>
        <i x="32" s="1"/>
        <i x="1" s="1"/>
        <i x="27" s="1"/>
        <i x="29"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C4795660-A934-4E0F-9AE7-F12750B3582C}" sourceName="SKU">
  <pivotTables>
    <pivotTable tabId="4" name="PivotTable5"/>
  </pivotTables>
  <data>
    <tabular pivotCacheId="413093102">
      <items count="630">
        <i x="139" s="1"/>
        <i x="621" s="1"/>
        <i x="333" s="1"/>
        <i x="415" s="1"/>
        <i x="340" s="1"/>
        <i x="394" s="1"/>
        <i x="441" s="1"/>
        <i x="293" s="1"/>
        <i x="491" s="1"/>
        <i x="587" s="1"/>
        <i x="207" s="1"/>
        <i x="14" s="1"/>
        <i x="478" s="1"/>
        <i x="58" s="1"/>
        <i x="261" s="1"/>
        <i x="59" s="1"/>
        <i x="325" s="1"/>
        <i x="103" s="1"/>
        <i x="170" s="1"/>
        <i x="70" s="1"/>
        <i x="497" s="1"/>
        <i x="416" s="1"/>
        <i x="312" s="1"/>
        <i x="319" s="1"/>
        <i x="489" s="1"/>
        <i x="332" s="1"/>
        <i x="355" s="1"/>
        <i x="516" s="1"/>
        <i x="185" s="1"/>
        <i x="545" s="1"/>
        <i x="221" s="1"/>
        <i x="259" s="1"/>
        <i x="450" s="1"/>
        <i x="521" s="1"/>
        <i x="576" s="1"/>
        <i x="270" s="1"/>
        <i x="22" s="1"/>
        <i x="158" s="1"/>
        <i x="131" s="1"/>
        <i x="154" s="1"/>
        <i x="290" s="1"/>
        <i x="76" s="1"/>
        <i x="113" s="1"/>
        <i x="569" s="1"/>
        <i x="187" s="1"/>
        <i x="618" s="1"/>
        <i x="588" s="1"/>
        <i x="227" s="1"/>
        <i x="552" s="1"/>
        <i x="551" s="1"/>
        <i x="97" s="1"/>
        <i x="460" s="1"/>
        <i x="214" s="1"/>
        <i x="352" s="1"/>
        <i x="299" s="1"/>
        <i x="57" s="1"/>
        <i x="288" s="1"/>
        <i x="50" s="1"/>
        <i x="147" s="1"/>
        <i x="437" s="1"/>
        <i x="346" s="1"/>
        <i x="180" s="1"/>
        <i x="358" s="1"/>
        <i x="142" s="1"/>
        <i x="493" s="1"/>
        <i x="557" s="1"/>
        <i x="465" s="1"/>
        <i x="604" s="1"/>
        <i x="360" s="1"/>
        <i x="592" s="1"/>
        <i x="10" s="1"/>
        <i x="277" s="1"/>
        <i x="18" s="1"/>
        <i x="338" s="1"/>
        <i x="541" s="1"/>
        <i x="292" s="1"/>
        <i x="454" s="1"/>
        <i x="25" s="1"/>
        <i x="209" s="1"/>
        <i x="93" s="1"/>
        <i x="66" s="1"/>
        <i x="77" s="1"/>
        <i x="554" s="1"/>
        <i x="536" s="1"/>
        <i x="306" s="1"/>
        <i x="182" s="1"/>
        <i x="408" s="1"/>
        <i x="109" s="1"/>
        <i x="75" s="1"/>
        <i x="169" s="1"/>
        <i x="513" s="1"/>
        <i x="471" s="1"/>
        <i x="579" s="1"/>
        <i x="607" s="1"/>
        <i x="624" s="1"/>
        <i x="34" s="1"/>
        <i x="172" s="1"/>
        <i x="627" s="1"/>
        <i x="401" s="1"/>
        <i x="126" s="1"/>
        <i x="391" s="1"/>
        <i x="124" s="1"/>
        <i x="484" s="1"/>
        <i x="523" s="1"/>
        <i x="377" s="1"/>
        <i x="24" s="1"/>
        <i x="87" s="1"/>
        <i x="82" s="1"/>
        <i x="324" s="1"/>
        <i x="510" s="1"/>
        <i x="367" s="1"/>
        <i x="458" s="1"/>
        <i x="12" s="1"/>
        <i x="136" s="1"/>
        <i x="9" s="1"/>
        <i x="294" s="1"/>
        <i x="157" s="1"/>
        <i x="464" s="1"/>
        <i x="210" s="1"/>
        <i x="315" s="1"/>
        <i x="467" s="1"/>
        <i x="85" s="1"/>
        <i x="161" s="1"/>
        <i x="260" s="1"/>
        <i x="348" s="1"/>
        <i x="256" s="1"/>
        <i x="573" s="1"/>
        <i x="220" s="1"/>
        <i x="617" s="1"/>
        <i x="594" s="1"/>
        <i x="326" s="1"/>
        <i x="74" s="1"/>
        <i x="171" s="1"/>
        <i x="589" s="1"/>
        <i x="490" s="1"/>
        <i x="518" s="1"/>
        <i x="463" s="1"/>
        <i x="78" s="1"/>
        <i x="519" s="1"/>
        <i x="564" s="1"/>
        <i x="44" s="1"/>
        <i x="127" s="1"/>
        <i x="125" s="1"/>
        <i x="110" s="1"/>
        <i x="568" s="1"/>
        <i x="504" s="1"/>
        <i x="459" s="1"/>
        <i x="451" s="1"/>
        <i x="397" s="1"/>
        <i x="30" s="1"/>
        <i x="230" s="1"/>
        <i x="61" s="1"/>
        <i x="365" s="1"/>
        <i x="222" s="1"/>
        <i x="206" s="1"/>
        <i x="69" s="1"/>
        <i x="250" s="1"/>
        <i x="36" s="1"/>
        <i x="60" s="1"/>
        <i x="105" s="1"/>
        <i x="511" s="1"/>
        <i x="101" s="1"/>
        <i x="86" s="1"/>
        <i x="234" s="1"/>
        <i x="0" s="1"/>
        <i x="37" s="1"/>
        <i x="393" s="1"/>
        <i x="436" s="1"/>
        <i x="403" s="1"/>
        <i x="289" s="1"/>
        <i x="476" s="1"/>
        <i x="237" s="1"/>
        <i x="585" s="1"/>
        <i x="177" s="1"/>
        <i x="300" s="1"/>
        <i x="267" s="1"/>
        <i x="559" s="1"/>
        <i x="323" s="1"/>
        <i x="475" s="1"/>
        <i x="477" s="1"/>
        <i x="533" s="1"/>
        <i x="166" s="1"/>
        <i x="145" s="1"/>
        <i x="295" s="1"/>
        <i x="15" s="1"/>
        <i x="527" s="1"/>
        <i x="445" s="1"/>
        <i x="582" s="1"/>
        <i x="539" s="1"/>
        <i x="349" s="1"/>
        <i x="119" s="1"/>
        <i x="279" s="1"/>
        <i x="246" s="1"/>
        <i x="384" s="1"/>
        <i x="239" s="1"/>
        <i x="370" s="1"/>
        <i x="629" s="1"/>
        <i x="481" s="1"/>
        <i x="146" s="1"/>
        <i x="19" s="1"/>
        <i x="64" s="1"/>
        <i x="264" s="1"/>
        <i x="507" s="1"/>
        <i x="571" s="1"/>
        <i x="345" s="1"/>
        <i x="99" s="1"/>
        <i x="53" s="1"/>
        <i x="362" s="1"/>
        <i x="514" s="1"/>
        <i x="581" s="1"/>
        <i x="71" s="1"/>
        <i x="309" s="1"/>
        <i x="304" s="1"/>
        <i x="542" s="1"/>
        <i x="242" s="1"/>
        <i x="457" s="1"/>
        <i x="603" s="1"/>
        <i x="23" s="1"/>
        <i x="255" s="1"/>
        <i x="508" s="1"/>
        <i x="104" s="1"/>
        <i x="190" s="1"/>
        <i x="563" s="1"/>
        <i x="387" s="1"/>
        <i x="251" s="1"/>
        <i x="151" s="1"/>
        <i x="520" s="1"/>
        <i x="593" s="1"/>
        <i x="368" s="1"/>
        <i x="56" s="1"/>
        <i x="409" s="1"/>
        <i x="275" s="1"/>
        <i x="173" s="1"/>
        <i x="102" s="1"/>
        <i x="388" s="1"/>
        <i x="534" s="1"/>
        <i x="565" s="1"/>
        <i x="425" s="1"/>
        <i x="52" s="1"/>
        <i x="192" s="1"/>
        <i x="407" s="1"/>
        <i x="117" s="1"/>
        <i x="396" s="1"/>
        <i x="424" s="1"/>
        <i x="72" s="1"/>
        <i x="5" s="1"/>
        <i x="598" s="1"/>
        <i x="430" s="1"/>
        <i x="421" s="1"/>
        <i x="283" s="1"/>
        <i x="329" s="1"/>
        <i x="386" s="1"/>
        <i x="111" s="1"/>
        <i x="224" s="1"/>
        <i x="132" s="1"/>
        <i x="20" s="1"/>
        <i x="402" s="1"/>
        <i x="284" s="1"/>
        <i x="33" s="1"/>
        <i x="339" s="1"/>
        <i x="566" s="1"/>
        <i x="314" s="1"/>
        <i x="271" s="1"/>
        <i x="591" s="1"/>
        <i x="216" s="1"/>
        <i x="186" s="1"/>
        <i x="205" s="1"/>
        <i x="96" s="1"/>
        <i x="404" s="1"/>
        <i x="167" s="1"/>
        <i x="140" s="1"/>
        <i x="68" s="1"/>
        <i x="472" s="1"/>
        <i x="509" s="1"/>
        <i x="217" s="1"/>
        <i x="115" s="1"/>
        <i x="247" s="1"/>
        <i x="597" s="1"/>
        <i x="89" s="1"/>
        <i x="328" s="1"/>
        <i x="249" s="1"/>
        <i x="135" s="1"/>
        <i x="273" s="1"/>
        <i x="427" s="1"/>
        <i x="83" s="1"/>
        <i x="398" s="1"/>
        <i x="121" s="1"/>
        <i x="625" s="1"/>
        <i x="418" s="1"/>
        <i x="615" s="1"/>
        <i x="189" s="1"/>
        <i x="351" s="1"/>
        <i x="549" s="1"/>
        <i x="297" s="1"/>
        <i x="51" s="1"/>
        <i x="252" s="1"/>
        <i x="372" s="1"/>
        <i x="432" s="1"/>
        <i x="499" s="1"/>
        <i x="55" s="1"/>
        <i x="204" s="1"/>
        <i x="456" s="1"/>
        <i x="130" s="1"/>
        <i x="63" s="1"/>
        <i x="233" s="1"/>
        <i x="178" s="1"/>
        <i x="305" s="1"/>
        <i x="447" s="1"/>
        <i x="280" s="1"/>
        <i x="298" s="1"/>
        <i x="183" s="1"/>
        <i x="363" s="1"/>
        <i x="389" s="1"/>
        <i x="561" s="1"/>
        <i x="572" s="1"/>
        <i x="522" s="1"/>
        <i x="547" s="1"/>
        <i x="310" s="1"/>
        <i x="195" s="1"/>
        <i x="165" s="1"/>
        <i x="67" s="1"/>
        <i x="453" s="1"/>
        <i x="8" s="1"/>
        <i x="175" s="1"/>
        <i x="556" s="1"/>
        <i x="446" s="1"/>
        <i x="580" s="1"/>
        <i x="191" s="1"/>
        <i x="168" s="1"/>
        <i x="383" s="1"/>
        <i x="258" s="1"/>
        <i x="211" s="1"/>
        <i x="188" s="1"/>
        <i x="79" s="1"/>
        <i x="610" s="1"/>
        <i x="544" s="1"/>
        <i x="6" s="1"/>
        <i x="272" s="1"/>
        <i x="540" s="1"/>
        <i x="431" s="1"/>
        <i x="184" s="1"/>
        <i x="494" s="1"/>
        <i x="254" s="1"/>
        <i x="88" s="1"/>
        <i x="118" s="1"/>
        <i x="531" s="1"/>
        <i x="163" s="1"/>
        <i x="498" s="1"/>
        <i x="318" s="1"/>
        <i x="395" s="1"/>
        <i x="266" s="1"/>
        <i x="160" s="1"/>
        <i x="40" s="1"/>
        <i x="496" s="1"/>
        <i x="311" s="1"/>
        <i x="495" s="1"/>
        <i x="590" s="1"/>
        <i x="380" s="1"/>
        <i x="41" s="1"/>
        <i x="223" s="1"/>
        <i x="226" s="1"/>
        <i x="302" s="1"/>
        <i x="98" s="1"/>
        <i x="341" s="1"/>
        <i x="73" s="1"/>
        <i x="479" s="1"/>
        <i x="90" s="1"/>
        <i x="45" s="1"/>
        <i x="47" s="1"/>
        <i x="144" s="1"/>
        <i x="257" s="1"/>
        <i x="623" s="1"/>
        <i x="438" s="1"/>
        <i x="562" s="1"/>
        <i x="248" s="1"/>
        <i x="483" s="1"/>
        <i x="577" s="1"/>
        <i x="114" s="1"/>
        <i x="21" s="1"/>
        <i x="399" s="1"/>
        <i x="198" s="1"/>
        <i x="376" s="1"/>
        <i x="575" s="1"/>
        <i x="506" s="1"/>
        <i x="307" s="1"/>
        <i x="574" s="1"/>
        <i x="382" s="1"/>
        <i x="357" s="1"/>
        <i x="317" s="1"/>
        <i x="129" s="1"/>
        <i x="517" s="1"/>
        <i x="112" s="1"/>
        <i x="548" s="1"/>
        <i x="321" s="1"/>
        <i x="620" s="1"/>
        <i x="622" s="1"/>
        <i x="80" s="1"/>
        <i x="322" s="1"/>
        <i x="543" s="1"/>
        <i x="48" s="1"/>
        <i x="462" s="1"/>
        <i x="612" s="1"/>
        <i x="379" s="1"/>
        <i x="276" s="1"/>
        <i x="194" s="1"/>
        <i x="611" s="1"/>
        <i x="466" s="1"/>
        <i x="203" s="1"/>
        <i x="600" s="1"/>
        <i x="503" s="1"/>
        <i x="120" s="1"/>
        <i x="108" s="1"/>
        <i x="535" s="1"/>
        <i x="413" s="1"/>
        <i x="84" s="1"/>
        <i x="550" s="1"/>
        <i x="215" s="1"/>
        <i x="378" s="1"/>
        <i x="155" s="1"/>
        <i x="32" s="1"/>
        <i x="433" s="1"/>
        <i x="502" s="1"/>
        <i x="281" s="1"/>
        <i x="123" s="1"/>
        <i x="619" s="1"/>
        <i x="156" s="1"/>
        <i x="538" s="1"/>
        <i x="614" s="1"/>
        <i x="353" s="1"/>
        <i x="331" s="1"/>
        <i x="262" s="1"/>
        <i x="567" s="1"/>
        <i x="529" s="1"/>
        <i x="344" s="1"/>
        <i x="2" s="1"/>
        <i x="29" s="1"/>
        <i x="435" s="1"/>
        <i x="287" s="1"/>
        <i x="54" s="1"/>
        <i x="420" s="1"/>
        <i x="17" s="1"/>
        <i x="282" s="1"/>
        <i x="347" s="1"/>
        <i x="213" s="1"/>
        <i x="343" s="1"/>
        <i x="28" s="1"/>
        <i x="560" s="1"/>
        <i x="512" s="1"/>
        <i x="202" s="1"/>
        <i x="371" s="1"/>
        <i x="327" s="1"/>
        <i x="107" s="1"/>
        <i x="448" s="1"/>
        <i x="238" s="1"/>
        <i x="482" s="1"/>
        <i x="231" s="1"/>
        <i x="422" s="1"/>
        <i x="133" s="1"/>
        <i x="530" s="1"/>
        <i x="268" s="1"/>
        <i x="426" s="1"/>
        <i x="200" s="1"/>
        <i x="392" s="1"/>
        <i x="91" s="1"/>
        <i x="241" s="1"/>
        <i x="286" s="1"/>
        <i x="263" s="1"/>
        <i x="334" s="1"/>
        <i x="412" s="1"/>
        <i x="440" s="1"/>
        <i x="128" s="1"/>
        <i x="570" s="1"/>
        <i x="3" s="1"/>
        <i x="583" s="1"/>
        <i x="149" s="1"/>
        <i x="65" s="1"/>
        <i x="626" s="1"/>
        <i x="245" s="1"/>
        <i x="31" s="1"/>
        <i x="375" s="1"/>
        <i x="197" s="1"/>
        <i x="303" s="1"/>
        <i x="584" s="1"/>
        <i x="361" s="1"/>
        <i x="162" s="1"/>
        <i x="452" s="1"/>
        <i x="428" s="1"/>
        <i x="406" s="1"/>
        <i x="485" s="1"/>
        <i x="553" s="1"/>
        <i x="316" s="1"/>
        <i x="330" s="1"/>
        <i x="488" s="1"/>
        <i x="455" s="1"/>
        <i x="285" s="1"/>
        <i x="278" s="1"/>
        <i x="27" s="1"/>
        <i x="366" s="1"/>
        <i x="94" s="1"/>
        <i x="11" s="1"/>
        <i x="244" s="1"/>
        <i x="225" s="1"/>
        <i x="605" s="1"/>
        <i x="181" s="1"/>
        <i x="578" s="1"/>
        <i x="336" s="1"/>
        <i x="492" s="1"/>
        <i x="122" s="1"/>
        <i x="374" s="1"/>
        <i x="137" s="1"/>
        <i x="141" s="1"/>
        <i x="532" s="1"/>
        <i x="62" s="1"/>
        <i x="100" s="1"/>
        <i x="419" s="1"/>
        <i x="411" s="1"/>
        <i x="505" s="1"/>
        <i x="236" s="1"/>
        <i x="434" s="1"/>
        <i x="106" s="1"/>
        <i x="500" s="1"/>
        <i x="628" s="1"/>
        <i x="159" s="1"/>
        <i x="320" s="1"/>
        <i x="473" s="1"/>
        <i x="586" s="1"/>
        <i x="196" s="1"/>
        <i x="501" s="1"/>
        <i x="335" s="1"/>
        <i x="232" s="1"/>
        <i x="390" s="1"/>
        <i x="474" s="1"/>
        <i x="265" s="1"/>
        <i x="486" s="1"/>
        <i x="49" s="1"/>
        <i x="526" s="1"/>
        <i x="537" s="1"/>
        <i x="410" s="1"/>
        <i x="515" s="1"/>
        <i x="525" s="1"/>
        <i x="439" s="1"/>
        <i x="228" s="1"/>
        <i x="313" s="1"/>
        <i x="449" s="1"/>
        <i x="555" s="1"/>
        <i x="429" s="1"/>
        <i x="46" s="1"/>
        <i x="524" s="1"/>
        <i x="219" s="1"/>
        <i x="253" s="1"/>
        <i x="308" s="1"/>
        <i x="212" s="1"/>
        <i x="42" s="1"/>
        <i x="468" s="1"/>
        <i x="364" s="1"/>
        <i x="369" s="1"/>
        <i x="174" s="1"/>
        <i x="480" s="1"/>
        <i x="164" s="1"/>
        <i x="26" s="1"/>
        <i x="148" s="1"/>
        <i x="143" s="1"/>
        <i x="35" s="1"/>
        <i x="528" s="1"/>
        <i x="595" s="1"/>
        <i x="134" s="1"/>
        <i x="442" s="1"/>
        <i x="342" s="1"/>
        <i x="609" s="1"/>
        <i x="138" s="1"/>
        <i x="193" s="1"/>
        <i x="240" s="1"/>
        <i x="602" s="1"/>
        <i x="176" s="1"/>
        <i x="613" s="1"/>
        <i x="337" s="1"/>
        <i x="243" s="1"/>
        <i x="606" s="1"/>
        <i x="400" s="1"/>
        <i x="218" s="1"/>
        <i x="616" s="1"/>
        <i x="487" s="1"/>
        <i x="417" s="1"/>
        <i x="381" s="1"/>
        <i x="208" s="1"/>
        <i x="601" s="1"/>
        <i x="150" s="1"/>
        <i x="7" s="1"/>
        <i x="423" s="1"/>
        <i x="116" s="1"/>
        <i x="92" s="1"/>
        <i x="301" s="1"/>
        <i x="39" s="1"/>
        <i x="558" s="1"/>
        <i x="359" s="1"/>
        <i x="269" s="1"/>
        <i x="16" s="1"/>
        <i x="461" s="1"/>
        <i x="199" s="1"/>
        <i x="229" s="1"/>
        <i x="470" s="1"/>
        <i x="153" s="1"/>
        <i x="38" s="1"/>
        <i x="350" s="1"/>
        <i x="235" s="1"/>
        <i x="296" s="1"/>
        <i x="444" s="1"/>
        <i x="4" s="1"/>
        <i x="179" s="1"/>
        <i x="152" s="1"/>
        <i x="13" s="1"/>
        <i x="201" s="1"/>
        <i x="373" s="1"/>
        <i x="274" s="1"/>
        <i x="291" s="1"/>
        <i x="385" s="1"/>
        <i x="95" s="1"/>
        <i x="608" s="1"/>
        <i x="1" s="1"/>
        <i x="405" s="1"/>
        <i x="469" s="1"/>
        <i x="356" s="1"/>
        <i x="443" s="1"/>
        <i x="546" s="1"/>
        <i x="81" s="1"/>
        <i x="43" s="1"/>
        <i x="599" s="1"/>
        <i x="596" s="1"/>
        <i x="354" s="1"/>
        <i x="4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5B3058F-7F5D-4BE8-B66F-33A771530038}" cache="Slicer_Region" caption="Region" rowHeight="241300"/>
  <slicer name="Month" xr10:uid="{22BE618A-EC3F-40E0-8FC6-B57820A69E87}" cache="Slicer_Month" caption="Month" rowHeight="241300"/>
  <slicer name="SKU" xr10:uid="{8B1B2AC8-83EE-4CF0-AC15-48D2B071ECCA}" cache="Slicer_SKU" caption="SKU"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D99B5-09DF-4FBC-8612-B8A6AF198A69}">
  <dimension ref="A1"/>
  <sheetViews>
    <sheetView tabSelected="1"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633"/>
  <sheetViews>
    <sheetView topLeftCell="F1" workbookViewId="0">
      <pane ySplit="1" topLeftCell="A607" activePane="bottomLeft" state="frozen"/>
      <selection pane="bottomLeft" activeCell="C9" sqref="C9"/>
    </sheetView>
  </sheetViews>
  <sheetFormatPr defaultRowHeight="21" x14ac:dyDescent="0.35"/>
  <cols>
    <col min="1" max="1" width="24.5703125" style="3" bestFit="1" customWidth="1"/>
    <col min="2" max="2" width="15.7109375" style="3" bestFit="1" customWidth="1"/>
    <col min="3" max="3" width="18.7109375" style="3" bestFit="1" customWidth="1"/>
    <col min="4" max="4" width="18.7109375" style="3" customWidth="1"/>
    <col min="5" max="5" width="12.42578125" style="3" bestFit="1" customWidth="1"/>
    <col min="6" max="6" width="21.28515625" style="3" bestFit="1" customWidth="1"/>
    <col min="7" max="7" width="18.5703125" style="3" bestFit="1" customWidth="1"/>
    <col min="8" max="8" width="24.5703125" style="3" bestFit="1" customWidth="1"/>
    <col min="9" max="9" width="16.7109375" style="3" bestFit="1" customWidth="1"/>
    <col min="10" max="10" width="16.140625" style="3" bestFit="1" customWidth="1"/>
    <col min="11" max="11" width="22.28515625" style="3" bestFit="1" customWidth="1"/>
    <col min="12" max="12" width="15.140625" style="3" bestFit="1" customWidth="1"/>
    <col min="13" max="13" width="12.28515625" style="3" bestFit="1" customWidth="1"/>
    <col min="14" max="14" width="12.7109375" style="3" bestFit="1" customWidth="1"/>
    <col min="15" max="15" width="16" style="3" bestFit="1" customWidth="1"/>
    <col min="16" max="16" width="12" style="3" bestFit="1" customWidth="1"/>
    <col min="17" max="17" width="19.28515625" style="3" bestFit="1" customWidth="1"/>
    <col min="18" max="18" width="17.5703125" style="3" bestFit="1" customWidth="1"/>
    <col min="19" max="19" width="15" style="3" bestFit="1" customWidth="1"/>
    <col min="20" max="20" width="14" style="3" bestFit="1" customWidth="1"/>
    <col min="21" max="21" width="13.5703125" style="3" bestFit="1" customWidth="1"/>
    <col min="22" max="27" width="9.140625" style="3"/>
    <col min="28" max="28" width="18" style="3" bestFit="1" customWidth="1"/>
    <col min="29" max="29" width="23.140625" style="3" bestFit="1" customWidth="1"/>
    <col min="30" max="30" width="9.140625" style="3"/>
    <col min="31" max="31" width="35.85546875" style="3" bestFit="1" customWidth="1"/>
    <col min="32" max="16384" width="9.140625" style="3"/>
  </cols>
  <sheetData>
    <row r="1" spans="1:32" x14ac:dyDescent="0.35">
      <c r="A1" s="2" t="s">
        <v>0</v>
      </c>
      <c r="B1" s="2" t="s">
        <v>1</v>
      </c>
      <c r="C1" s="2" t="s">
        <v>2</v>
      </c>
      <c r="D1" s="2" t="s">
        <v>1424</v>
      </c>
      <c r="E1" s="2" t="s">
        <v>3</v>
      </c>
      <c r="F1" s="2" t="s">
        <v>4</v>
      </c>
      <c r="G1" s="2" t="s">
        <v>5</v>
      </c>
      <c r="H1" s="2" t="s">
        <v>6</v>
      </c>
      <c r="I1" s="2" t="s">
        <v>7</v>
      </c>
      <c r="J1" s="2" t="s">
        <v>8</v>
      </c>
      <c r="K1" s="2" t="s">
        <v>9</v>
      </c>
      <c r="L1" s="2" t="s">
        <v>10</v>
      </c>
      <c r="M1" s="2" t="s">
        <v>11</v>
      </c>
      <c r="N1" s="2" t="s">
        <v>12</v>
      </c>
      <c r="O1" s="2" t="s">
        <v>13</v>
      </c>
      <c r="P1" s="2" t="s">
        <v>14</v>
      </c>
      <c r="Q1" s="6" t="s">
        <v>1425</v>
      </c>
      <c r="R1" s="6" t="s">
        <v>1426</v>
      </c>
      <c r="S1" s="6" t="s">
        <v>1427</v>
      </c>
      <c r="T1" s="6" t="s">
        <v>1428</v>
      </c>
      <c r="U1" s="6" t="s">
        <v>1434</v>
      </c>
      <c r="AB1" s="6" t="s">
        <v>1432</v>
      </c>
      <c r="AC1" s="6" t="s">
        <v>1433</v>
      </c>
      <c r="AE1" s="6" t="s">
        <v>1429</v>
      </c>
    </row>
    <row r="2" spans="1:32" x14ac:dyDescent="0.35">
      <c r="A2" s="3" t="s">
        <v>15</v>
      </c>
      <c r="B2" s="4">
        <v>45362</v>
      </c>
      <c r="C2" s="4">
        <v>45388</v>
      </c>
      <c r="D2" s="5">
        <v>26</v>
      </c>
      <c r="E2" s="3" t="s">
        <v>646</v>
      </c>
      <c r="F2" s="3" t="s">
        <v>650</v>
      </c>
      <c r="G2" s="3" t="s">
        <v>662</v>
      </c>
      <c r="H2" s="3" t="s">
        <v>701</v>
      </c>
      <c r="I2" s="3" t="s">
        <v>707</v>
      </c>
      <c r="J2" s="3" t="s">
        <v>712</v>
      </c>
      <c r="K2" s="3" t="s">
        <v>727</v>
      </c>
      <c r="L2" s="3" t="s">
        <v>734</v>
      </c>
      <c r="M2" s="3">
        <v>279.24</v>
      </c>
      <c r="N2" s="3">
        <v>608.9</v>
      </c>
      <c r="O2" s="3">
        <v>0.112</v>
      </c>
      <c r="P2" s="3">
        <v>9</v>
      </c>
      <c r="Q2" s="3">
        <v>4866.3287999999993</v>
      </c>
      <c r="R2" s="3">
        <f>M2*P2</f>
        <v>2513.16</v>
      </c>
      <c r="S2" s="3">
        <v>2353.1687999999995</v>
      </c>
      <c r="T2" s="3">
        <f>IF(Q2=0,0,S2/Q2)</f>
        <v>0.48356140670149533</v>
      </c>
      <c r="U2" s="3" t="str">
        <f>TEXT(B2, "mmm-yyyy")</f>
        <v>Mar-2024</v>
      </c>
      <c r="AB2" s="3">
        <f>M2 * P2 * (1+ $AF$2)</f>
        <v>2513.16</v>
      </c>
      <c r="AC2" s="3">
        <f>N2 * P2 * (1- MIN(O2, $AF$3))</f>
        <v>4866.3287999999993</v>
      </c>
      <c r="AE2" s="3" t="s">
        <v>1430</v>
      </c>
      <c r="AF2" s="7">
        <v>0</v>
      </c>
    </row>
    <row r="3" spans="1:32" x14ac:dyDescent="0.35">
      <c r="A3" s="3" t="s">
        <v>16</v>
      </c>
      <c r="B3" s="4">
        <v>45588</v>
      </c>
      <c r="C3" s="4">
        <v>45587</v>
      </c>
      <c r="D3" s="5">
        <v>1</v>
      </c>
      <c r="E3" s="3" t="s">
        <v>646</v>
      </c>
      <c r="F3" s="3" t="s">
        <v>651</v>
      </c>
      <c r="G3" s="3" t="s">
        <v>663</v>
      </c>
      <c r="H3" s="3" t="s">
        <v>702</v>
      </c>
      <c r="I3" s="3" t="s">
        <v>708</v>
      </c>
      <c r="J3" s="3" t="s">
        <v>713</v>
      </c>
      <c r="K3" s="3" t="s">
        <v>728</v>
      </c>
      <c r="L3" s="3" t="s">
        <v>735</v>
      </c>
      <c r="M3" s="3">
        <v>1084.3900000000001</v>
      </c>
      <c r="N3" s="3">
        <v>759.33</v>
      </c>
      <c r="O3" s="3">
        <v>0.23699999999999999</v>
      </c>
      <c r="P3" s="3">
        <v>31</v>
      </c>
      <c r="Q3" s="3">
        <v>17960.432489999999</v>
      </c>
      <c r="R3" s="3">
        <f t="shared" ref="R3:R66" si="0">M3*P3</f>
        <v>33616.090000000004</v>
      </c>
      <c r="S3" s="3">
        <v>15655.657510000005</v>
      </c>
      <c r="T3" s="3">
        <f t="shared" ref="T3:T66" si="1">IF(Q3=0,0,S3/Q3)</f>
        <v>0.87167486187856302</v>
      </c>
      <c r="U3" s="3" t="str">
        <f t="shared" ref="U3:U66" si="2">TEXT(B3, "mmm-yyyy")</f>
        <v>Oct-2024</v>
      </c>
      <c r="AB3" s="3">
        <f t="shared" ref="AB3:AB66" si="3">M3 * P3 * (1+ $AF$2)</f>
        <v>33616.090000000004</v>
      </c>
      <c r="AC3" s="3">
        <f t="shared" ref="AC3:AC66" si="4">N3 * P3 * (1- MIN(O3, $AF$3))</f>
        <v>18831.384000000002</v>
      </c>
      <c r="AE3" s="3" t="s">
        <v>1431</v>
      </c>
      <c r="AF3" s="7">
        <v>0.2</v>
      </c>
    </row>
    <row r="4" spans="1:32" x14ac:dyDescent="0.35">
      <c r="A4" s="3" t="s">
        <v>17</v>
      </c>
      <c r="B4" s="4">
        <v>44985</v>
      </c>
      <c r="C4" s="4">
        <v>45010</v>
      </c>
      <c r="D4" s="5">
        <v>25</v>
      </c>
      <c r="E4" s="3" t="s">
        <v>646</v>
      </c>
      <c r="F4" s="3" t="s">
        <v>650</v>
      </c>
      <c r="G4" s="3" t="s">
        <v>664</v>
      </c>
      <c r="H4" s="3" t="s">
        <v>701</v>
      </c>
      <c r="I4" s="3" t="s">
        <v>707</v>
      </c>
      <c r="J4" s="3" t="s">
        <v>714</v>
      </c>
      <c r="K4" s="3" t="s">
        <v>729</v>
      </c>
      <c r="L4" s="3" t="s">
        <v>736</v>
      </c>
      <c r="M4" s="3">
        <v>1460.76</v>
      </c>
      <c r="N4" s="3">
        <v>-30.66</v>
      </c>
      <c r="O4" s="3">
        <v>0.13100000000000001</v>
      </c>
      <c r="P4" s="3">
        <v>12</v>
      </c>
      <c r="Q4" s="3">
        <v>319.72248000000002</v>
      </c>
      <c r="R4" s="3">
        <f t="shared" si="0"/>
        <v>17529.12</v>
      </c>
      <c r="S4" s="3">
        <v>17209.397519999999</v>
      </c>
      <c r="T4" s="3">
        <f t="shared" si="1"/>
        <v>53.826047890032626</v>
      </c>
      <c r="U4" s="3" t="str">
        <f t="shared" si="2"/>
        <v>Feb-2023</v>
      </c>
      <c r="AB4" s="3">
        <f t="shared" si="3"/>
        <v>17529.12</v>
      </c>
      <c r="AC4" s="3">
        <f t="shared" si="4"/>
        <v>-319.72248000000002</v>
      </c>
    </row>
    <row r="5" spans="1:32" x14ac:dyDescent="0.35">
      <c r="A5" s="3" t="s">
        <v>18</v>
      </c>
      <c r="B5" s="4">
        <v>45745</v>
      </c>
      <c r="C5" s="4">
        <v>45749</v>
      </c>
      <c r="D5" s="5">
        <v>4</v>
      </c>
      <c r="E5" s="3" t="s">
        <v>646</v>
      </c>
      <c r="F5" s="3" t="s">
        <v>651</v>
      </c>
      <c r="G5" s="3" t="s">
        <v>665</v>
      </c>
      <c r="H5" s="3" t="s">
        <v>703</v>
      </c>
      <c r="I5" s="3" t="s">
        <v>709</v>
      </c>
      <c r="J5" s="3" t="s">
        <v>715</v>
      </c>
      <c r="K5" s="3" t="s">
        <v>730</v>
      </c>
      <c r="L5" s="3" t="s">
        <v>737</v>
      </c>
      <c r="M5" s="3">
        <v>259.93</v>
      </c>
      <c r="N5" s="3">
        <v>255.94</v>
      </c>
      <c r="O5" s="3">
        <v>7.1999999999999995E-2</v>
      </c>
      <c r="P5" s="3">
        <v>22</v>
      </c>
      <c r="Q5" s="3">
        <v>5225.2710400000005</v>
      </c>
      <c r="R5" s="3">
        <f t="shared" si="0"/>
        <v>5718.46</v>
      </c>
      <c r="S5" s="3">
        <v>493.1889599999995</v>
      </c>
      <c r="T5" s="3">
        <f t="shared" si="1"/>
        <v>9.4385335463861311E-2</v>
      </c>
      <c r="U5" s="3" t="str">
        <f t="shared" si="2"/>
        <v>Mar-2025</v>
      </c>
      <c r="AB5" s="3">
        <f t="shared" si="3"/>
        <v>5718.46</v>
      </c>
      <c r="AC5" s="3">
        <f t="shared" si="4"/>
        <v>5225.2710400000005</v>
      </c>
    </row>
    <row r="6" spans="1:32" x14ac:dyDescent="0.35">
      <c r="A6" s="3" t="s">
        <v>19</v>
      </c>
      <c r="B6" s="4">
        <v>45266</v>
      </c>
      <c r="C6" s="4">
        <v>45291</v>
      </c>
      <c r="D6" s="5">
        <v>25</v>
      </c>
      <c r="E6" s="3" t="s">
        <v>647</v>
      </c>
      <c r="F6" s="3" t="s">
        <v>652</v>
      </c>
      <c r="G6" s="3" t="s">
        <v>666</v>
      </c>
      <c r="H6" s="3" t="s">
        <v>704</v>
      </c>
      <c r="I6" s="3" t="s">
        <v>707</v>
      </c>
      <c r="J6" s="3" t="s">
        <v>716</v>
      </c>
      <c r="K6" s="3" t="s">
        <v>728</v>
      </c>
      <c r="L6" s="3" t="s">
        <v>738</v>
      </c>
      <c r="M6" s="3">
        <v>663.03</v>
      </c>
      <c r="N6" s="3">
        <v>813.51</v>
      </c>
      <c r="O6" s="3">
        <v>0.10199999999999999</v>
      </c>
      <c r="P6" s="3">
        <v>15</v>
      </c>
      <c r="Q6" s="3">
        <v>10957.9797</v>
      </c>
      <c r="R6" s="3">
        <f t="shared" si="0"/>
        <v>9945.4499999999989</v>
      </c>
      <c r="S6" s="3">
        <v>1012.529700000001</v>
      </c>
      <c r="T6" s="3">
        <f t="shared" si="1"/>
        <v>9.2401129379715952E-2</v>
      </c>
      <c r="U6" s="3" t="str">
        <f t="shared" si="2"/>
        <v>Dec-2023</v>
      </c>
      <c r="AB6" s="3">
        <f t="shared" si="3"/>
        <v>9945.4499999999989</v>
      </c>
      <c r="AC6" s="3">
        <f t="shared" si="4"/>
        <v>10957.9797</v>
      </c>
    </row>
    <row r="7" spans="1:32" x14ac:dyDescent="0.35">
      <c r="A7" s="3" t="s">
        <v>20</v>
      </c>
      <c r="B7" s="4">
        <v>44928</v>
      </c>
      <c r="C7" s="4">
        <v>44931</v>
      </c>
      <c r="D7" s="5">
        <v>3</v>
      </c>
      <c r="E7" s="3" t="s">
        <v>648</v>
      </c>
      <c r="F7" s="3" t="s">
        <v>653</v>
      </c>
      <c r="G7" s="3" t="s">
        <v>667</v>
      </c>
      <c r="H7" s="3" t="s">
        <v>701</v>
      </c>
      <c r="I7" s="3" t="s">
        <v>710</v>
      </c>
      <c r="J7" s="3" t="s">
        <v>717</v>
      </c>
      <c r="K7" s="3" t="s">
        <v>731</v>
      </c>
      <c r="L7" s="3" t="s">
        <v>739</v>
      </c>
      <c r="M7" s="3">
        <v>315.87</v>
      </c>
      <c r="N7" s="3">
        <v>591.67999999999995</v>
      </c>
      <c r="O7" s="3">
        <v>0</v>
      </c>
      <c r="P7" s="3">
        <v>7</v>
      </c>
      <c r="Q7" s="3">
        <v>4141.7599999999993</v>
      </c>
      <c r="R7" s="3">
        <f t="shared" si="0"/>
        <v>2211.09</v>
      </c>
      <c r="S7" s="3">
        <v>1930.6699999999992</v>
      </c>
      <c r="T7" s="3">
        <f t="shared" si="1"/>
        <v>0.46614724175229844</v>
      </c>
      <c r="U7" s="3" t="str">
        <f t="shared" si="2"/>
        <v>Jan-2023</v>
      </c>
      <c r="AB7" s="3">
        <f t="shared" si="3"/>
        <v>2211.09</v>
      </c>
      <c r="AC7" s="3">
        <f t="shared" si="4"/>
        <v>4141.7599999999993</v>
      </c>
    </row>
    <row r="8" spans="1:32" x14ac:dyDescent="0.35">
      <c r="A8" s="3" t="s">
        <v>21</v>
      </c>
      <c r="B8" s="4">
        <v>45653</v>
      </c>
      <c r="C8" s="4">
        <v>45671</v>
      </c>
      <c r="D8" s="5">
        <v>18</v>
      </c>
      <c r="E8" s="3" t="s">
        <v>647</v>
      </c>
      <c r="F8" s="3" t="s">
        <v>654</v>
      </c>
      <c r="G8" s="3" t="s">
        <v>668</v>
      </c>
      <c r="H8" s="3" t="s">
        <v>705</v>
      </c>
      <c r="I8" s="3" t="s">
        <v>709</v>
      </c>
      <c r="J8" s="3" t="s">
        <v>718</v>
      </c>
      <c r="K8" s="3" t="s">
        <v>732</v>
      </c>
      <c r="L8" s="3" t="s">
        <v>740</v>
      </c>
      <c r="M8" s="3">
        <v>586.07000000000005</v>
      </c>
      <c r="N8" s="3">
        <v>845.97</v>
      </c>
      <c r="O8" s="3">
        <v>0.14699999999999999</v>
      </c>
      <c r="P8" s="3">
        <v>4</v>
      </c>
      <c r="Q8" s="3">
        <v>2886.4496399999998</v>
      </c>
      <c r="R8" s="3">
        <f t="shared" si="0"/>
        <v>2344.2800000000002</v>
      </c>
      <c r="S8" s="3">
        <v>542.16963999999962</v>
      </c>
      <c r="T8" s="3">
        <f t="shared" si="1"/>
        <v>0.18783270370862928</v>
      </c>
      <c r="U8" s="3" t="str">
        <f t="shared" si="2"/>
        <v>Dec-2024</v>
      </c>
      <c r="AB8" s="3">
        <f t="shared" si="3"/>
        <v>2344.2800000000002</v>
      </c>
      <c r="AC8" s="3">
        <f t="shared" si="4"/>
        <v>2886.4496399999998</v>
      </c>
    </row>
    <row r="9" spans="1:32" x14ac:dyDescent="0.35">
      <c r="A9" s="3" t="s">
        <v>22</v>
      </c>
      <c r="B9" s="4">
        <v>44941</v>
      </c>
      <c r="C9" s="4">
        <v>44939</v>
      </c>
      <c r="D9" s="5">
        <v>2</v>
      </c>
      <c r="E9" s="3" t="s">
        <v>646</v>
      </c>
      <c r="F9" s="3" t="s">
        <v>651</v>
      </c>
      <c r="G9" s="3" t="s">
        <v>669</v>
      </c>
      <c r="H9" s="3" t="s">
        <v>702</v>
      </c>
      <c r="I9" s="3" t="s">
        <v>708</v>
      </c>
      <c r="J9" s="3" t="s">
        <v>719</v>
      </c>
      <c r="K9" s="3" t="s">
        <v>728</v>
      </c>
      <c r="L9" s="3" t="s">
        <v>741</v>
      </c>
      <c r="M9" s="3">
        <v>28.38</v>
      </c>
      <c r="N9" s="3">
        <v>47.22</v>
      </c>
      <c r="O9" s="3">
        <v>0.19400000000000001</v>
      </c>
      <c r="P9" s="3">
        <v>18</v>
      </c>
      <c r="Q9" s="3">
        <v>685.06776000000002</v>
      </c>
      <c r="R9" s="3">
        <f t="shared" si="0"/>
        <v>510.84</v>
      </c>
      <c r="S9" s="3">
        <v>174.22776000000005</v>
      </c>
      <c r="T9" s="3">
        <f t="shared" si="1"/>
        <v>0.25432193743871417</v>
      </c>
      <c r="U9" s="3" t="str">
        <f t="shared" si="2"/>
        <v>Jan-2023</v>
      </c>
      <c r="AB9" s="3">
        <f t="shared" si="3"/>
        <v>510.84</v>
      </c>
      <c r="AC9" s="3">
        <f t="shared" si="4"/>
        <v>685.06776000000002</v>
      </c>
    </row>
    <row r="10" spans="1:32" x14ac:dyDescent="0.35">
      <c r="A10" s="3" t="s">
        <v>23</v>
      </c>
      <c r="B10" s="4">
        <v>45416</v>
      </c>
      <c r="C10" s="4">
        <v>45441</v>
      </c>
      <c r="D10" s="5">
        <v>25</v>
      </c>
      <c r="E10" s="3" t="s">
        <v>646</v>
      </c>
      <c r="F10" s="3" t="s">
        <v>651</v>
      </c>
      <c r="G10" s="3" t="s">
        <v>669</v>
      </c>
      <c r="H10" s="3" t="s">
        <v>703</v>
      </c>
      <c r="I10" s="3" t="s">
        <v>709</v>
      </c>
      <c r="J10" s="3" t="s">
        <v>719</v>
      </c>
      <c r="K10" s="3" t="s">
        <v>732</v>
      </c>
      <c r="L10" s="3" t="s">
        <v>742</v>
      </c>
      <c r="M10" s="3">
        <v>1295.3399999999999</v>
      </c>
      <c r="N10" s="3">
        <v>2530.81</v>
      </c>
      <c r="O10" s="3">
        <v>3.1E-2</v>
      </c>
      <c r="P10" s="3">
        <v>6</v>
      </c>
      <c r="Q10" s="3">
        <v>14714.12934</v>
      </c>
      <c r="R10" s="3">
        <f t="shared" si="0"/>
        <v>7772.0399999999991</v>
      </c>
      <c r="S10" s="3">
        <v>6942.0893400000004</v>
      </c>
      <c r="T10" s="3">
        <f t="shared" si="1"/>
        <v>0.4717974933880798</v>
      </c>
      <c r="U10" s="3" t="str">
        <f t="shared" si="2"/>
        <v>May-2024</v>
      </c>
      <c r="AB10" s="3">
        <f t="shared" si="3"/>
        <v>7772.0399999999991</v>
      </c>
      <c r="AC10" s="3">
        <f t="shared" si="4"/>
        <v>14714.12934</v>
      </c>
    </row>
    <row r="11" spans="1:32" x14ac:dyDescent="0.35">
      <c r="A11" s="3" t="s">
        <v>24</v>
      </c>
      <c r="B11" s="4">
        <v>45798</v>
      </c>
      <c r="C11" s="4">
        <v>45817</v>
      </c>
      <c r="D11" s="5">
        <v>19</v>
      </c>
      <c r="E11" s="3" t="s">
        <v>648</v>
      </c>
      <c r="F11" s="3" t="s">
        <v>655</v>
      </c>
      <c r="G11" s="3" t="s">
        <v>670</v>
      </c>
      <c r="H11" s="3" t="s">
        <v>703</v>
      </c>
      <c r="I11" s="3" t="s">
        <v>708</v>
      </c>
      <c r="J11" s="3" t="s">
        <v>720</v>
      </c>
      <c r="K11" s="3" t="s">
        <v>727</v>
      </c>
      <c r="L11" s="3" t="s">
        <v>743</v>
      </c>
      <c r="M11" s="3">
        <v>1331.38</v>
      </c>
      <c r="N11" s="3">
        <v>2309.56</v>
      </c>
      <c r="O11" s="3">
        <v>0.14899999999999999</v>
      </c>
      <c r="P11" s="3">
        <v>31</v>
      </c>
      <c r="Q11" s="3">
        <v>60928.502359999999</v>
      </c>
      <c r="R11" s="3">
        <f t="shared" si="0"/>
        <v>41272.780000000006</v>
      </c>
      <c r="S11" s="3">
        <v>19655.722359999992</v>
      </c>
      <c r="T11" s="3">
        <f t="shared" si="1"/>
        <v>0.32260307735553528</v>
      </c>
      <c r="U11" s="3" t="str">
        <f t="shared" si="2"/>
        <v>May-2025</v>
      </c>
      <c r="AB11" s="3">
        <f t="shared" si="3"/>
        <v>41272.780000000006</v>
      </c>
      <c r="AC11" s="3">
        <f t="shared" si="4"/>
        <v>60928.502359999999</v>
      </c>
    </row>
    <row r="12" spans="1:32" x14ac:dyDescent="0.35">
      <c r="A12" s="3" t="s">
        <v>25</v>
      </c>
      <c r="B12" s="4">
        <v>45319</v>
      </c>
      <c r="C12" s="4">
        <v>45331</v>
      </c>
      <c r="D12" s="5">
        <v>12</v>
      </c>
      <c r="E12" s="3" t="s">
        <v>649</v>
      </c>
      <c r="F12" s="3" t="s">
        <v>656</v>
      </c>
      <c r="G12" s="3" t="s">
        <v>671</v>
      </c>
      <c r="H12" s="3" t="s">
        <v>701</v>
      </c>
      <c r="I12" s="3" t="s">
        <v>708</v>
      </c>
      <c r="J12" s="3" t="s">
        <v>715</v>
      </c>
      <c r="K12" s="3" t="s">
        <v>733</v>
      </c>
      <c r="L12" s="3" t="s">
        <v>744</v>
      </c>
      <c r="M12" s="3">
        <v>644.16999999999996</v>
      </c>
      <c r="N12" s="3">
        <v>700.12</v>
      </c>
      <c r="O12" s="3">
        <v>6.0000000000000001E-3</v>
      </c>
      <c r="P12" s="3">
        <v>23</v>
      </c>
      <c r="Q12" s="3">
        <v>16006.14344</v>
      </c>
      <c r="R12" s="3">
        <f t="shared" si="0"/>
        <v>14815.91</v>
      </c>
      <c r="S12" s="3">
        <v>1190.23344</v>
      </c>
      <c r="T12" s="3">
        <f t="shared" si="1"/>
        <v>7.436103796405813E-2</v>
      </c>
      <c r="U12" s="3" t="str">
        <f t="shared" si="2"/>
        <v>Jan-2024</v>
      </c>
      <c r="AB12" s="3">
        <f t="shared" si="3"/>
        <v>14815.91</v>
      </c>
      <c r="AC12" s="3">
        <f t="shared" si="4"/>
        <v>16006.14344</v>
      </c>
    </row>
    <row r="13" spans="1:32" x14ac:dyDescent="0.35">
      <c r="A13" s="3" t="s">
        <v>26</v>
      </c>
      <c r="B13" s="4">
        <v>45660</v>
      </c>
      <c r="C13" s="4">
        <v>45680</v>
      </c>
      <c r="D13" s="5">
        <v>20</v>
      </c>
      <c r="E13" s="3" t="s">
        <v>647</v>
      </c>
      <c r="F13" s="3" t="s">
        <v>652</v>
      </c>
      <c r="G13" s="3" t="s">
        <v>666</v>
      </c>
      <c r="H13" s="3" t="s">
        <v>701</v>
      </c>
      <c r="I13" s="3" t="s">
        <v>710</v>
      </c>
      <c r="J13" s="3" t="s">
        <v>721</v>
      </c>
      <c r="K13" s="3" t="s">
        <v>730</v>
      </c>
      <c r="L13" s="3" t="s">
        <v>745</v>
      </c>
      <c r="M13" s="3">
        <v>908.6</v>
      </c>
      <c r="N13" s="3">
        <v>691.37</v>
      </c>
      <c r="O13" s="3">
        <v>0.25</v>
      </c>
      <c r="P13" s="3">
        <v>20</v>
      </c>
      <c r="Q13" s="3">
        <v>10370.549999999999</v>
      </c>
      <c r="R13" s="3">
        <f t="shared" si="0"/>
        <v>18172</v>
      </c>
      <c r="S13" s="3">
        <v>7801.4500000000007</v>
      </c>
      <c r="T13" s="3">
        <f t="shared" si="1"/>
        <v>0.75226964818645115</v>
      </c>
      <c r="U13" s="3" t="str">
        <f t="shared" si="2"/>
        <v>Jan-2025</v>
      </c>
      <c r="AB13" s="3">
        <f t="shared" si="3"/>
        <v>18172</v>
      </c>
      <c r="AC13" s="3">
        <f t="shared" si="4"/>
        <v>11061.92</v>
      </c>
    </row>
    <row r="14" spans="1:32" x14ac:dyDescent="0.35">
      <c r="A14" s="3" t="s">
        <v>27</v>
      </c>
      <c r="B14" s="4">
        <v>45722</v>
      </c>
      <c r="C14" s="4">
        <v>45747</v>
      </c>
      <c r="D14" s="5">
        <v>25</v>
      </c>
      <c r="E14" s="3" t="s">
        <v>648</v>
      </c>
      <c r="F14" s="3" t="s">
        <v>655</v>
      </c>
      <c r="G14" s="3" t="s">
        <v>672</v>
      </c>
      <c r="H14" s="3" t="s">
        <v>703</v>
      </c>
      <c r="I14" s="3" t="s">
        <v>708</v>
      </c>
      <c r="J14" s="3" t="s">
        <v>713</v>
      </c>
      <c r="K14" s="3" t="s">
        <v>727</v>
      </c>
      <c r="L14" s="3" t="s">
        <v>746</v>
      </c>
      <c r="M14" s="3">
        <v>331.57</v>
      </c>
      <c r="N14" s="3">
        <v>548.4</v>
      </c>
      <c r="O14" s="3">
        <v>9.4E-2</v>
      </c>
      <c r="P14" s="3">
        <v>10</v>
      </c>
      <c r="Q14" s="3">
        <v>4968.5039999999999</v>
      </c>
      <c r="R14" s="3">
        <f t="shared" si="0"/>
        <v>3315.7</v>
      </c>
      <c r="S14" s="3">
        <v>1652.8040000000001</v>
      </c>
      <c r="T14" s="3">
        <f t="shared" si="1"/>
        <v>0.33265626836568918</v>
      </c>
      <c r="U14" s="3" t="str">
        <f t="shared" si="2"/>
        <v>Mar-2025</v>
      </c>
      <c r="AB14" s="3">
        <f t="shared" si="3"/>
        <v>3315.7</v>
      </c>
      <c r="AC14" s="3">
        <f t="shared" si="4"/>
        <v>4968.5039999999999</v>
      </c>
    </row>
    <row r="15" spans="1:32" x14ac:dyDescent="0.35">
      <c r="A15" s="3" t="s">
        <v>28</v>
      </c>
      <c r="B15" s="4">
        <v>45311</v>
      </c>
      <c r="C15" s="4">
        <v>45335</v>
      </c>
      <c r="D15" s="5">
        <v>24</v>
      </c>
      <c r="E15" s="3" t="s">
        <v>649</v>
      </c>
      <c r="F15" s="3" t="s">
        <v>657</v>
      </c>
      <c r="G15" s="3" t="s">
        <v>673</v>
      </c>
      <c r="H15" s="3" t="s">
        <v>701</v>
      </c>
      <c r="I15" s="3" t="s">
        <v>707</v>
      </c>
      <c r="J15" s="3" t="s">
        <v>722</v>
      </c>
      <c r="K15" s="3" t="s">
        <v>728</v>
      </c>
      <c r="L15" s="3" t="s">
        <v>747</v>
      </c>
      <c r="M15" s="3">
        <v>643.53</v>
      </c>
      <c r="N15" s="3">
        <v>1439.01</v>
      </c>
      <c r="O15" s="3">
        <v>0</v>
      </c>
      <c r="P15" s="3">
        <v>15</v>
      </c>
      <c r="Q15" s="3">
        <v>21585.15</v>
      </c>
      <c r="R15" s="3">
        <f t="shared" si="0"/>
        <v>9652.9499999999989</v>
      </c>
      <c r="S15" s="3">
        <v>11932.200000000003</v>
      </c>
      <c r="T15" s="3">
        <f t="shared" si="1"/>
        <v>0.55279671440782208</v>
      </c>
      <c r="U15" s="3" t="str">
        <f t="shared" si="2"/>
        <v>Jan-2024</v>
      </c>
      <c r="AB15" s="3">
        <f t="shared" si="3"/>
        <v>9652.9499999999989</v>
      </c>
      <c r="AC15" s="3">
        <f t="shared" si="4"/>
        <v>21585.15</v>
      </c>
    </row>
    <row r="16" spans="1:32" x14ac:dyDescent="0.35">
      <c r="A16" s="3" t="s">
        <v>29</v>
      </c>
      <c r="B16" s="4">
        <v>45901</v>
      </c>
      <c r="C16" s="4">
        <v>45930</v>
      </c>
      <c r="D16" s="5">
        <v>29</v>
      </c>
      <c r="E16" s="3" t="s">
        <v>648</v>
      </c>
      <c r="F16" s="3" t="s">
        <v>655</v>
      </c>
      <c r="G16" s="3" t="s">
        <v>672</v>
      </c>
      <c r="H16" s="3" t="s">
        <v>702</v>
      </c>
      <c r="I16" s="3" t="s">
        <v>707</v>
      </c>
      <c r="J16" s="3" t="s">
        <v>723</v>
      </c>
      <c r="K16" s="3" t="s">
        <v>733</v>
      </c>
      <c r="L16" s="3" t="s">
        <v>748</v>
      </c>
      <c r="M16" s="3">
        <v>780.59</v>
      </c>
      <c r="N16" s="3">
        <v>631.57000000000005</v>
      </c>
      <c r="O16" s="3">
        <v>0</v>
      </c>
      <c r="P16" s="3">
        <v>12</v>
      </c>
      <c r="Q16" s="3">
        <v>7578.84</v>
      </c>
      <c r="R16" s="3">
        <f t="shared" si="0"/>
        <v>9367.08</v>
      </c>
      <c r="S16" s="3">
        <v>1788.2399999999998</v>
      </c>
      <c r="T16" s="3">
        <f t="shared" si="1"/>
        <v>0.23595167598207639</v>
      </c>
      <c r="U16" s="3" t="str">
        <f t="shared" si="2"/>
        <v>Sep-2025</v>
      </c>
      <c r="AB16" s="3">
        <f t="shared" si="3"/>
        <v>9367.08</v>
      </c>
      <c r="AC16" s="3">
        <f t="shared" si="4"/>
        <v>7578.84</v>
      </c>
    </row>
    <row r="17" spans="1:29" x14ac:dyDescent="0.35">
      <c r="A17" s="3" t="s">
        <v>30</v>
      </c>
      <c r="B17" s="4">
        <v>45039</v>
      </c>
      <c r="C17" s="4">
        <v>45038</v>
      </c>
      <c r="D17" s="5">
        <v>1</v>
      </c>
      <c r="E17" s="3" t="s">
        <v>646</v>
      </c>
      <c r="F17" s="3" t="s">
        <v>650</v>
      </c>
      <c r="G17" s="3" t="s">
        <v>664</v>
      </c>
      <c r="H17" s="3" t="s">
        <v>705</v>
      </c>
      <c r="I17" s="3" t="s">
        <v>711</v>
      </c>
      <c r="J17" s="3" t="s">
        <v>718</v>
      </c>
      <c r="K17" s="3" t="s">
        <v>731</v>
      </c>
      <c r="L17" s="3" t="s">
        <v>749</v>
      </c>
      <c r="M17" s="3">
        <v>756.51</v>
      </c>
      <c r="N17" s="3">
        <v>850.8</v>
      </c>
      <c r="O17" s="3">
        <v>7.3999999999999996E-2</v>
      </c>
      <c r="P17" s="3">
        <v>9</v>
      </c>
      <c r="Q17" s="3">
        <v>7090.5672000000004</v>
      </c>
      <c r="R17" s="3">
        <f t="shared" si="0"/>
        <v>6808.59</v>
      </c>
      <c r="S17" s="3">
        <v>281.97720000000027</v>
      </c>
      <c r="T17" s="3">
        <f t="shared" si="1"/>
        <v>3.9767932810791252E-2</v>
      </c>
      <c r="U17" s="3" t="str">
        <f t="shared" si="2"/>
        <v>Apr-2023</v>
      </c>
      <c r="AB17" s="3">
        <f t="shared" si="3"/>
        <v>6808.59</v>
      </c>
      <c r="AC17" s="3">
        <f t="shared" si="4"/>
        <v>7090.5672000000004</v>
      </c>
    </row>
    <row r="18" spans="1:29" x14ac:dyDescent="0.35">
      <c r="A18" s="3" t="s">
        <v>31</v>
      </c>
      <c r="B18" s="4">
        <v>45636</v>
      </c>
      <c r="C18" s="4">
        <v>45665</v>
      </c>
      <c r="D18" s="5">
        <v>29</v>
      </c>
      <c r="E18" s="3" t="s">
        <v>649</v>
      </c>
      <c r="F18" s="3" t="s">
        <v>657</v>
      </c>
      <c r="G18" s="3" t="s">
        <v>673</v>
      </c>
      <c r="H18" s="3" t="s">
        <v>705</v>
      </c>
      <c r="I18" s="3" t="s">
        <v>707</v>
      </c>
      <c r="J18" s="3" t="s">
        <v>723</v>
      </c>
      <c r="K18" s="3" t="s">
        <v>728</v>
      </c>
      <c r="L18" s="3" t="s">
        <v>750</v>
      </c>
      <c r="M18" s="3">
        <v>891.08</v>
      </c>
      <c r="N18" s="3">
        <v>1040.0999999999999</v>
      </c>
      <c r="O18" s="3">
        <v>0.109</v>
      </c>
      <c r="P18" s="3">
        <v>28</v>
      </c>
      <c r="Q18" s="3">
        <v>25948.414799999995</v>
      </c>
      <c r="R18" s="3">
        <f t="shared" si="0"/>
        <v>24950.240000000002</v>
      </c>
      <c r="S18" s="3">
        <v>998.17479999999341</v>
      </c>
      <c r="T18" s="3">
        <f t="shared" si="1"/>
        <v>3.8467660074556598E-2</v>
      </c>
      <c r="U18" s="3" t="str">
        <f t="shared" si="2"/>
        <v>Dec-2024</v>
      </c>
      <c r="AB18" s="3">
        <f t="shared" si="3"/>
        <v>24950.240000000002</v>
      </c>
      <c r="AC18" s="3">
        <f t="shared" si="4"/>
        <v>25948.414799999995</v>
      </c>
    </row>
    <row r="19" spans="1:29" x14ac:dyDescent="0.35">
      <c r="A19" s="3" t="s">
        <v>32</v>
      </c>
      <c r="B19" s="4">
        <v>45908</v>
      </c>
      <c r="C19" s="4">
        <v>45916</v>
      </c>
      <c r="D19" s="5">
        <v>8</v>
      </c>
      <c r="E19" s="3" t="s">
        <v>647</v>
      </c>
      <c r="F19" s="3" t="s">
        <v>652</v>
      </c>
      <c r="G19" s="3" t="s">
        <v>666</v>
      </c>
      <c r="H19" s="3" t="s">
        <v>701</v>
      </c>
      <c r="I19" s="3" t="s">
        <v>710</v>
      </c>
      <c r="J19" s="3" t="s">
        <v>712</v>
      </c>
      <c r="K19" s="3" t="s">
        <v>730</v>
      </c>
      <c r="L19" s="3" t="s">
        <v>751</v>
      </c>
      <c r="M19" s="3">
        <v>1225.57</v>
      </c>
      <c r="N19" s="3">
        <v>2705.57</v>
      </c>
      <c r="O19" s="3">
        <v>0.183</v>
      </c>
      <c r="P19" s="3">
        <v>16</v>
      </c>
      <c r="Q19" s="3">
        <v>35367.211040000002</v>
      </c>
      <c r="R19" s="3">
        <f t="shared" si="0"/>
        <v>19609.12</v>
      </c>
      <c r="S19" s="3">
        <v>15758.091040000003</v>
      </c>
      <c r="T19" s="3">
        <f t="shared" si="1"/>
        <v>0.44555650775453404</v>
      </c>
      <c r="U19" s="3" t="str">
        <f t="shared" si="2"/>
        <v>Sep-2025</v>
      </c>
      <c r="AB19" s="3">
        <f t="shared" si="3"/>
        <v>19609.12</v>
      </c>
      <c r="AC19" s="3">
        <f t="shared" si="4"/>
        <v>35367.211040000002</v>
      </c>
    </row>
    <row r="20" spans="1:29" x14ac:dyDescent="0.35">
      <c r="A20" s="3" t="s">
        <v>33</v>
      </c>
      <c r="B20" s="4">
        <v>45858</v>
      </c>
      <c r="C20" s="4">
        <v>45874</v>
      </c>
      <c r="D20" s="5">
        <v>16</v>
      </c>
      <c r="E20" s="3" t="s">
        <v>648</v>
      </c>
      <c r="F20" s="3" t="s">
        <v>655</v>
      </c>
      <c r="G20" s="3" t="s">
        <v>672</v>
      </c>
      <c r="H20" s="3" t="s">
        <v>706</v>
      </c>
      <c r="I20" s="3" t="s">
        <v>709</v>
      </c>
      <c r="J20" s="3" t="s">
        <v>715</v>
      </c>
      <c r="K20" s="3" t="s">
        <v>733</v>
      </c>
      <c r="L20" s="3" t="s">
        <v>752</v>
      </c>
      <c r="M20" s="3">
        <v>1068.17</v>
      </c>
      <c r="N20" s="3">
        <v>2375.37</v>
      </c>
      <c r="O20" s="3">
        <v>0.109</v>
      </c>
      <c r="P20" s="3">
        <v>18</v>
      </c>
      <c r="Q20" s="3">
        <v>38096.18406</v>
      </c>
      <c r="R20" s="3">
        <f t="shared" si="0"/>
        <v>19227.060000000001</v>
      </c>
      <c r="S20" s="3">
        <v>18869.124059999998</v>
      </c>
      <c r="T20" s="3">
        <f t="shared" si="1"/>
        <v>0.49530220744108822</v>
      </c>
      <c r="U20" s="3" t="str">
        <f t="shared" si="2"/>
        <v>Jul-2025</v>
      </c>
      <c r="AB20" s="3">
        <f t="shared" si="3"/>
        <v>19227.060000000001</v>
      </c>
      <c r="AC20" s="3">
        <f t="shared" si="4"/>
        <v>38096.18406</v>
      </c>
    </row>
    <row r="21" spans="1:29" x14ac:dyDescent="0.35">
      <c r="A21" s="3" t="s">
        <v>34</v>
      </c>
      <c r="B21" s="4">
        <v>45798</v>
      </c>
      <c r="C21" s="4">
        <v>45796</v>
      </c>
      <c r="D21" s="5">
        <v>2</v>
      </c>
      <c r="E21" s="3" t="s">
        <v>649</v>
      </c>
      <c r="F21" s="3" t="s">
        <v>658</v>
      </c>
      <c r="G21" s="3" t="s">
        <v>674</v>
      </c>
      <c r="H21" s="3" t="s">
        <v>706</v>
      </c>
      <c r="I21" s="3" t="s">
        <v>708</v>
      </c>
      <c r="J21" s="3" t="s">
        <v>724</v>
      </c>
      <c r="K21" s="3" t="s">
        <v>731</v>
      </c>
      <c r="L21" s="3" t="s">
        <v>753</v>
      </c>
      <c r="M21" s="3">
        <v>1015.16</v>
      </c>
      <c r="N21" s="3">
        <v>2148.14</v>
      </c>
      <c r="O21" s="3">
        <v>3.7999999999999999E-2</v>
      </c>
      <c r="P21" s="3">
        <v>19</v>
      </c>
      <c r="Q21" s="3">
        <v>39263.702919999996</v>
      </c>
      <c r="R21" s="3">
        <f t="shared" si="0"/>
        <v>19288.04</v>
      </c>
      <c r="S21" s="3">
        <v>19975.662919999995</v>
      </c>
      <c r="T21" s="3">
        <f t="shared" si="1"/>
        <v>0.50875647059322227</v>
      </c>
      <c r="U21" s="3" t="str">
        <f t="shared" si="2"/>
        <v>May-2025</v>
      </c>
      <c r="AB21" s="3">
        <f t="shared" si="3"/>
        <v>19288.04</v>
      </c>
      <c r="AC21" s="3">
        <f t="shared" si="4"/>
        <v>39263.702919999996</v>
      </c>
    </row>
    <row r="22" spans="1:29" x14ac:dyDescent="0.35">
      <c r="A22" s="3" t="s">
        <v>35</v>
      </c>
      <c r="B22" s="4">
        <v>45498</v>
      </c>
      <c r="C22" s="4">
        <v>45497</v>
      </c>
      <c r="D22" s="5">
        <v>1</v>
      </c>
      <c r="E22" s="3" t="s">
        <v>646</v>
      </c>
      <c r="F22" s="3" t="s">
        <v>650</v>
      </c>
      <c r="G22" s="3" t="s">
        <v>675</v>
      </c>
      <c r="H22" s="3" t="s">
        <v>703</v>
      </c>
      <c r="I22" s="3" t="s">
        <v>711</v>
      </c>
      <c r="J22" s="3" t="s">
        <v>713</v>
      </c>
      <c r="K22" s="3" t="s">
        <v>731</v>
      </c>
      <c r="L22" s="3" t="s">
        <v>754</v>
      </c>
      <c r="M22" s="3">
        <v>1494.4</v>
      </c>
      <c r="N22" s="3">
        <v>3661.07</v>
      </c>
      <c r="O22" s="3">
        <v>7.1999999999999995E-2</v>
      </c>
      <c r="P22" s="3">
        <v>7</v>
      </c>
      <c r="Q22" s="3">
        <v>23782.310720000001</v>
      </c>
      <c r="R22" s="3">
        <f t="shared" si="0"/>
        <v>10460.800000000001</v>
      </c>
      <c r="S22" s="3">
        <v>13321.51072</v>
      </c>
      <c r="T22" s="3">
        <f t="shared" si="1"/>
        <v>0.56014366630897339</v>
      </c>
      <c r="U22" s="3" t="str">
        <f t="shared" si="2"/>
        <v>Jul-2024</v>
      </c>
      <c r="AB22" s="3">
        <f t="shared" si="3"/>
        <v>10460.800000000001</v>
      </c>
      <c r="AC22" s="3">
        <f t="shared" si="4"/>
        <v>23782.310720000001</v>
      </c>
    </row>
    <row r="23" spans="1:29" x14ac:dyDescent="0.35">
      <c r="A23" s="3" t="s">
        <v>36</v>
      </c>
      <c r="B23" s="4">
        <v>45057</v>
      </c>
      <c r="C23" s="4">
        <v>45074</v>
      </c>
      <c r="D23" s="5">
        <v>17</v>
      </c>
      <c r="E23" s="3" t="s">
        <v>647</v>
      </c>
      <c r="F23" s="3" t="s">
        <v>659</v>
      </c>
      <c r="G23" s="3" t="s">
        <v>676</v>
      </c>
      <c r="H23" s="3" t="s">
        <v>706</v>
      </c>
      <c r="I23" s="3" t="s">
        <v>709</v>
      </c>
      <c r="J23" s="3" t="s">
        <v>718</v>
      </c>
      <c r="K23" s="3" t="s">
        <v>729</v>
      </c>
      <c r="L23" s="3" t="s">
        <v>755</v>
      </c>
      <c r="M23" s="3">
        <v>1331.19</v>
      </c>
      <c r="N23" s="3">
        <v>2903.09</v>
      </c>
      <c r="O23" s="3">
        <v>0.14299999999999999</v>
      </c>
      <c r="P23" s="3">
        <v>8</v>
      </c>
      <c r="Q23" s="3">
        <v>19903.585040000002</v>
      </c>
      <c r="R23" s="3">
        <f t="shared" si="0"/>
        <v>10649.52</v>
      </c>
      <c r="S23" s="3">
        <v>9254.0650400000013</v>
      </c>
      <c r="T23" s="3">
        <f t="shared" si="1"/>
        <v>0.46494463290920784</v>
      </c>
      <c r="U23" s="3" t="str">
        <f t="shared" si="2"/>
        <v>May-2023</v>
      </c>
      <c r="AB23" s="3">
        <f t="shared" si="3"/>
        <v>10649.52</v>
      </c>
      <c r="AC23" s="3">
        <f t="shared" si="4"/>
        <v>19903.585040000002</v>
      </c>
    </row>
    <row r="24" spans="1:29" x14ac:dyDescent="0.35">
      <c r="A24" s="3" t="s">
        <v>37</v>
      </c>
      <c r="B24" s="4">
        <v>45822</v>
      </c>
      <c r="C24" s="4">
        <v>45837</v>
      </c>
      <c r="D24" s="5">
        <v>15</v>
      </c>
      <c r="E24" s="3" t="s">
        <v>646</v>
      </c>
      <c r="F24" s="3" t="s">
        <v>651</v>
      </c>
      <c r="G24" s="3" t="s">
        <v>663</v>
      </c>
      <c r="H24" s="3" t="s">
        <v>704</v>
      </c>
      <c r="I24" s="3" t="s">
        <v>709</v>
      </c>
      <c r="J24" s="3" t="s">
        <v>724</v>
      </c>
      <c r="K24" s="3" t="s">
        <v>733</v>
      </c>
      <c r="L24" s="3" t="s">
        <v>756</v>
      </c>
      <c r="M24" s="3">
        <v>730.99</v>
      </c>
      <c r="N24" s="3">
        <v>1242.8399999999999</v>
      </c>
      <c r="O24" s="3">
        <v>0.12</v>
      </c>
      <c r="P24" s="3">
        <v>10</v>
      </c>
      <c r="Q24" s="3">
        <v>10936.992</v>
      </c>
      <c r="R24" s="3">
        <f t="shared" si="0"/>
        <v>7309.9</v>
      </c>
      <c r="S24" s="3">
        <v>3627.0920000000006</v>
      </c>
      <c r="T24" s="3">
        <f t="shared" si="1"/>
        <v>0.33163524303574515</v>
      </c>
      <c r="U24" s="3" t="str">
        <f t="shared" si="2"/>
        <v>Jun-2025</v>
      </c>
      <c r="AB24" s="3">
        <f t="shared" si="3"/>
        <v>7309.9</v>
      </c>
      <c r="AC24" s="3">
        <f t="shared" si="4"/>
        <v>10936.992</v>
      </c>
    </row>
    <row r="25" spans="1:29" x14ac:dyDescent="0.35">
      <c r="A25" s="3" t="s">
        <v>38</v>
      </c>
      <c r="B25" s="4">
        <v>45430</v>
      </c>
      <c r="C25" s="4">
        <v>45435</v>
      </c>
      <c r="D25" s="5">
        <v>5</v>
      </c>
      <c r="E25" s="3" t="s">
        <v>648</v>
      </c>
      <c r="F25" s="3" t="s">
        <v>660</v>
      </c>
      <c r="G25" s="3" t="s">
        <v>677</v>
      </c>
      <c r="H25" s="3" t="s">
        <v>706</v>
      </c>
      <c r="I25" s="3" t="s">
        <v>707</v>
      </c>
      <c r="J25" s="3" t="s">
        <v>722</v>
      </c>
      <c r="K25" s="3" t="s">
        <v>731</v>
      </c>
      <c r="L25" s="3" t="s">
        <v>757</v>
      </c>
      <c r="M25" s="3">
        <v>1274.5899999999999</v>
      </c>
      <c r="N25" s="3">
        <v>2553.69</v>
      </c>
      <c r="O25" s="3">
        <v>0.01</v>
      </c>
      <c r="P25" s="3">
        <v>8</v>
      </c>
      <c r="Q25" s="3">
        <v>20225.2248</v>
      </c>
      <c r="R25" s="3">
        <f t="shared" si="0"/>
        <v>10196.719999999999</v>
      </c>
      <c r="S25" s="3">
        <v>10028.504800000001</v>
      </c>
      <c r="T25" s="3">
        <f t="shared" si="1"/>
        <v>0.49584145042481803</v>
      </c>
      <c r="U25" s="3" t="str">
        <f t="shared" si="2"/>
        <v>May-2024</v>
      </c>
      <c r="AB25" s="3">
        <f t="shared" si="3"/>
        <v>10196.719999999999</v>
      </c>
      <c r="AC25" s="3">
        <f t="shared" si="4"/>
        <v>20225.2248</v>
      </c>
    </row>
    <row r="26" spans="1:29" x14ac:dyDescent="0.35">
      <c r="A26" s="3" t="s">
        <v>39</v>
      </c>
      <c r="B26" s="4">
        <v>44964</v>
      </c>
      <c r="C26" s="4">
        <v>44969</v>
      </c>
      <c r="D26" s="5">
        <v>5</v>
      </c>
      <c r="E26" s="3" t="s">
        <v>648</v>
      </c>
      <c r="F26" s="3" t="s">
        <v>655</v>
      </c>
      <c r="G26" s="3" t="s">
        <v>670</v>
      </c>
      <c r="H26" s="3" t="s">
        <v>702</v>
      </c>
      <c r="I26" s="3" t="s">
        <v>708</v>
      </c>
      <c r="J26" s="3" t="s">
        <v>725</v>
      </c>
      <c r="K26" s="3" t="s">
        <v>727</v>
      </c>
      <c r="L26" s="3" t="s">
        <v>758</v>
      </c>
      <c r="M26" s="3">
        <v>948.55</v>
      </c>
      <c r="N26" s="3">
        <v>2089.16</v>
      </c>
      <c r="O26" s="3">
        <v>7.0000000000000001E-3</v>
      </c>
      <c r="P26" s="3">
        <v>12</v>
      </c>
      <c r="Q26" s="3">
        <v>24894.430559999997</v>
      </c>
      <c r="R26" s="3">
        <f t="shared" si="0"/>
        <v>11382.599999999999</v>
      </c>
      <c r="S26" s="3">
        <v>13511.830559999999</v>
      </c>
      <c r="T26" s="3">
        <f t="shared" si="1"/>
        <v>0.54276519912492427</v>
      </c>
      <c r="U26" s="3" t="str">
        <f t="shared" si="2"/>
        <v>Feb-2023</v>
      </c>
      <c r="AB26" s="3">
        <f t="shared" si="3"/>
        <v>11382.599999999999</v>
      </c>
      <c r="AC26" s="3">
        <f t="shared" si="4"/>
        <v>24894.430559999997</v>
      </c>
    </row>
    <row r="27" spans="1:29" x14ac:dyDescent="0.35">
      <c r="A27" s="3" t="s">
        <v>40</v>
      </c>
      <c r="B27" s="4">
        <v>45473</v>
      </c>
      <c r="C27" s="4">
        <v>45487</v>
      </c>
      <c r="D27" s="5">
        <v>14</v>
      </c>
      <c r="E27" s="3" t="s">
        <v>648</v>
      </c>
      <c r="F27" s="3" t="s">
        <v>655</v>
      </c>
      <c r="G27" s="3" t="s">
        <v>672</v>
      </c>
      <c r="H27" s="3" t="s">
        <v>702</v>
      </c>
      <c r="I27" s="3" t="s">
        <v>707</v>
      </c>
      <c r="J27" s="3" t="s">
        <v>712</v>
      </c>
      <c r="K27" s="3" t="s">
        <v>733</v>
      </c>
      <c r="L27" s="3" t="s">
        <v>759</v>
      </c>
      <c r="M27" s="3">
        <v>1491.85</v>
      </c>
      <c r="N27" s="3">
        <v>2583.02</v>
      </c>
      <c r="O27" s="3">
        <v>0.16800000000000001</v>
      </c>
      <c r="P27" s="3">
        <v>4</v>
      </c>
      <c r="Q27" s="3">
        <v>8596.2905599999995</v>
      </c>
      <c r="R27" s="3">
        <f t="shared" si="0"/>
        <v>5967.4</v>
      </c>
      <c r="S27" s="3">
        <v>2628.8905599999998</v>
      </c>
      <c r="T27" s="3">
        <f t="shared" si="1"/>
        <v>0.30581685689321325</v>
      </c>
      <c r="U27" s="3" t="str">
        <f t="shared" si="2"/>
        <v>Jun-2024</v>
      </c>
      <c r="AB27" s="3">
        <f t="shared" si="3"/>
        <v>5967.4</v>
      </c>
      <c r="AC27" s="3">
        <f t="shared" si="4"/>
        <v>8596.2905599999995</v>
      </c>
    </row>
    <row r="28" spans="1:29" x14ac:dyDescent="0.35">
      <c r="A28" s="3" t="s">
        <v>41</v>
      </c>
      <c r="B28" s="4">
        <v>45626</v>
      </c>
      <c r="C28" s="4">
        <v>45656</v>
      </c>
      <c r="D28" s="5">
        <v>30</v>
      </c>
      <c r="E28" s="3" t="s">
        <v>649</v>
      </c>
      <c r="F28" s="3" t="s">
        <v>657</v>
      </c>
      <c r="G28" s="3" t="s">
        <v>673</v>
      </c>
      <c r="H28" s="3" t="s">
        <v>704</v>
      </c>
      <c r="I28" s="3" t="s">
        <v>709</v>
      </c>
      <c r="J28" s="3" t="s">
        <v>721</v>
      </c>
      <c r="K28" s="3" t="s">
        <v>728</v>
      </c>
      <c r="L28" s="3" t="s">
        <v>760</v>
      </c>
      <c r="M28" s="3">
        <v>117.64</v>
      </c>
      <c r="N28" s="3">
        <v>175.67</v>
      </c>
      <c r="O28" s="3">
        <v>0</v>
      </c>
      <c r="P28" s="3">
        <v>10</v>
      </c>
      <c r="Q28" s="3">
        <v>1756.6999999999998</v>
      </c>
      <c r="R28" s="3">
        <f t="shared" si="0"/>
        <v>1176.4000000000001</v>
      </c>
      <c r="S28" s="3">
        <v>580.29999999999973</v>
      </c>
      <c r="T28" s="3">
        <f t="shared" si="1"/>
        <v>0.33033528775545046</v>
      </c>
      <c r="U28" s="3" t="str">
        <f t="shared" si="2"/>
        <v>Nov-2024</v>
      </c>
      <c r="AB28" s="3">
        <f t="shared" si="3"/>
        <v>1176.4000000000001</v>
      </c>
      <c r="AC28" s="3">
        <f t="shared" si="4"/>
        <v>1756.6999999999998</v>
      </c>
    </row>
    <row r="29" spans="1:29" x14ac:dyDescent="0.35">
      <c r="A29" s="3" t="s">
        <v>42</v>
      </c>
      <c r="B29" s="4">
        <v>45492</v>
      </c>
      <c r="C29" s="4">
        <v>45492</v>
      </c>
      <c r="D29" s="5">
        <v>0</v>
      </c>
      <c r="E29" s="3" t="s">
        <v>646</v>
      </c>
      <c r="F29" s="3" t="s">
        <v>650</v>
      </c>
      <c r="G29" s="3" t="s">
        <v>662</v>
      </c>
      <c r="H29" s="3" t="s">
        <v>705</v>
      </c>
      <c r="I29" s="3" t="s">
        <v>707</v>
      </c>
      <c r="J29" s="3" t="s">
        <v>720</v>
      </c>
      <c r="K29" s="3" t="s">
        <v>730</v>
      </c>
      <c r="L29" s="3" t="s">
        <v>761</v>
      </c>
      <c r="M29" s="3">
        <v>857.24</v>
      </c>
      <c r="N29" s="3">
        <v>758.23</v>
      </c>
      <c r="O29" s="3">
        <v>0.125</v>
      </c>
      <c r="P29" s="3">
        <v>6</v>
      </c>
      <c r="Q29" s="3">
        <v>3980.7075</v>
      </c>
      <c r="R29" s="3">
        <f t="shared" si="0"/>
        <v>5143.4400000000005</v>
      </c>
      <c r="S29" s="3">
        <v>1162.7325000000005</v>
      </c>
      <c r="T29" s="3">
        <f t="shared" si="1"/>
        <v>0.29209192084572921</v>
      </c>
      <c r="U29" s="3" t="str">
        <f t="shared" si="2"/>
        <v>Jul-2024</v>
      </c>
      <c r="AB29" s="3">
        <f t="shared" si="3"/>
        <v>5143.4400000000005</v>
      </c>
      <c r="AC29" s="3">
        <f t="shared" si="4"/>
        <v>3980.7075</v>
      </c>
    </row>
    <row r="30" spans="1:29" x14ac:dyDescent="0.35">
      <c r="A30" s="3" t="s">
        <v>43</v>
      </c>
      <c r="B30" s="4">
        <v>45030</v>
      </c>
      <c r="C30" s="4">
        <v>45060</v>
      </c>
      <c r="D30" s="5">
        <v>30</v>
      </c>
      <c r="E30" s="3" t="s">
        <v>646</v>
      </c>
      <c r="F30" s="3" t="s">
        <v>650</v>
      </c>
      <c r="G30" s="3" t="s">
        <v>678</v>
      </c>
      <c r="H30" s="3" t="s">
        <v>704</v>
      </c>
      <c r="I30" s="3" t="s">
        <v>709</v>
      </c>
      <c r="J30" s="3" t="s">
        <v>724</v>
      </c>
      <c r="K30" s="3" t="s">
        <v>730</v>
      </c>
      <c r="L30" s="3" t="s">
        <v>762</v>
      </c>
      <c r="M30" s="3">
        <v>209.25</v>
      </c>
      <c r="N30" s="3">
        <v>434.8</v>
      </c>
      <c r="O30" s="3">
        <v>0</v>
      </c>
      <c r="P30" s="3">
        <v>9</v>
      </c>
      <c r="Q30" s="3">
        <v>3913.2000000000003</v>
      </c>
      <c r="R30" s="3">
        <f t="shared" si="0"/>
        <v>1883.25</v>
      </c>
      <c r="S30" s="3">
        <v>2029.9500000000003</v>
      </c>
      <c r="T30" s="3">
        <f t="shared" si="1"/>
        <v>0.51874425022999082</v>
      </c>
      <c r="U30" s="3" t="str">
        <f t="shared" si="2"/>
        <v>Apr-2023</v>
      </c>
      <c r="AB30" s="3">
        <f t="shared" si="3"/>
        <v>1883.25</v>
      </c>
      <c r="AC30" s="3">
        <f t="shared" si="4"/>
        <v>3913.2000000000003</v>
      </c>
    </row>
    <row r="31" spans="1:29" x14ac:dyDescent="0.35">
      <c r="A31" s="3" t="s">
        <v>44</v>
      </c>
      <c r="B31" s="4">
        <v>45754</v>
      </c>
      <c r="C31" s="4">
        <v>45758</v>
      </c>
      <c r="D31" s="5">
        <v>4</v>
      </c>
      <c r="E31" s="3" t="s">
        <v>649</v>
      </c>
      <c r="F31" s="3" t="s">
        <v>657</v>
      </c>
      <c r="G31" s="3" t="s">
        <v>679</v>
      </c>
      <c r="H31" s="3" t="s">
        <v>702</v>
      </c>
      <c r="I31" s="3" t="s">
        <v>707</v>
      </c>
      <c r="J31" s="3" t="s">
        <v>718</v>
      </c>
      <c r="K31" s="3" t="s">
        <v>729</v>
      </c>
      <c r="L31" s="3" t="s">
        <v>763</v>
      </c>
      <c r="M31" s="3">
        <v>754.77</v>
      </c>
      <c r="N31" s="3">
        <v>1666.18</v>
      </c>
      <c r="O31" s="3">
        <v>0.13900000000000001</v>
      </c>
      <c r="P31" s="3">
        <v>14</v>
      </c>
      <c r="Q31" s="3">
        <v>20084.133720000002</v>
      </c>
      <c r="R31" s="3">
        <f t="shared" si="0"/>
        <v>10566.779999999999</v>
      </c>
      <c r="S31" s="3">
        <v>9517.3537200000028</v>
      </c>
      <c r="T31" s="3">
        <f t="shared" si="1"/>
        <v>0.47387424584424653</v>
      </c>
      <c r="U31" s="3" t="str">
        <f t="shared" si="2"/>
        <v>Apr-2025</v>
      </c>
      <c r="AB31" s="3">
        <f t="shared" si="3"/>
        <v>10566.779999999999</v>
      </c>
      <c r="AC31" s="3">
        <f t="shared" si="4"/>
        <v>20084.133720000002</v>
      </c>
    </row>
    <row r="32" spans="1:29" x14ac:dyDescent="0.35">
      <c r="A32" s="3" t="s">
        <v>45</v>
      </c>
      <c r="B32" s="4">
        <v>45653</v>
      </c>
      <c r="C32" s="4">
        <v>45672</v>
      </c>
      <c r="D32" s="5">
        <v>19</v>
      </c>
      <c r="E32" s="3" t="s">
        <v>647</v>
      </c>
      <c r="F32" s="3" t="s">
        <v>654</v>
      </c>
      <c r="G32" s="3" t="s">
        <v>680</v>
      </c>
      <c r="H32" s="3" t="s">
        <v>703</v>
      </c>
      <c r="I32" s="3" t="s">
        <v>710</v>
      </c>
      <c r="J32" s="3" t="s">
        <v>715</v>
      </c>
      <c r="K32" s="3" t="s">
        <v>727</v>
      </c>
      <c r="L32" s="3" t="s">
        <v>764</v>
      </c>
      <c r="M32" s="3">
        <v>495.59</v>
      </c>
      <c r="N32" s="3">
        <v>631.78</v>
      </c>
      <c r="O32" s="3">
        <v>8.6999999999999994E-2</v>
      </c>
      <c r="P32" s="3">
        <v>17</v>
      </c>
      <c r="Q32" s="3">
        <v>9805.8573800000013</v>
      </c>
      <c r="R32" s="3">
        <f t="shared" si="0"/>
        <v>8425.0299999999988</v>
      </c>
      <c r="S32" s="3">
        <v>1380.8273800000024</v>
      </c>
      <c r="T32" s="3">
        <f t="shared" si="1"/>
        <v>0.14081658813601899</v>
      </c>
      <c r="U32" s="3" t="str">
        <f t="shared" si="2"/>
        <v>Dec-2024</v>
      </c>
      <c r="AB32" s="3">
        <f t="shared" si="3"/>
        <v>8425.0299999999988</v>
      </c>
      <c r="AC32" s="3">
        <f t="shared" si="4"/>
        <v>9805.8573800000013</v>
      </c>
    </row>
    <row r="33" spans="1:29" x14ac:dyDescent="0.35">
      <c r="A33" s="3" t="s">
        <v>46</v>
      </c>
      <c r="B33" s="4">
        <v>44980</v>
      </c>
      <c r="C33" s="4">
        <v>45010</v>
      </c>
      <c r="D33" s="5">
        <v>30</v>
      </c>
      <c r="E33" s="3" t="s">
        <v>648</v>
      </c>
      <c r="F33" s="3" t="s">
        <v>653</v>
      </c>
      <c r="G33" s="3" t="s">
        <v>681</v>
      </c>
      <c r="H33" s="3" t="s">
        <v>706</v>
      </c>
      <c r="I33" s="3" t="s">
        <v>708</v>
      </c>
      <c r="J33" s="3" t="s">
        <v>726</v>
      </c>
      <c r="K33" s="3" t="s">
        <v>730</v>
      </c>
      <c r="L33" s="3" t="s">
        <v>765</v>
      </c>
      <c r="M33" s="3">
        <v>1242.6600000000001</v>
      </c>
      <c r="N33" s="3">
        <v>1794.07</v>
      </c>
      <c r="O33" s="3">
        <v>8.8999999999999996E-2</v>
      </c>
      <c r="P33" s="3">
        <v>16</v>
      </c>
      <c r="Q33" s="3">
        <v>26150.364320000001</v>
      </c>
      <c r="R33" s="3">
        <f t="shared" si="0"/>
        <v>19882.560000000001</v>
      </c>
      <c r="S33" s="3">
        <v>6267.8043199999993</v>
      </c>
      <c r="T33" s="3">
        <f t="shared" si="1"/>
        <v>0.23968325042440553</v>
      </c>
      <c r="U33" s="3" t="str">
        <f t="shared" si="2"/>
        <v>Feb-2023</v>
      </c>
      <c r="AB33" s="3">
        <f t="shared" si="3"/>
        <v>19882.560000000001</v>
      </c>
      <c r="AC33" s="3">
        <f t="shared" si="4"/>
        <v>26150.364320000001</v>
      </c>
    </row>
    <row r="34" spans="1:29" x14ac:dyDescent="0.35">
      <c r="A34" s="3" t="s">
        <v>47</v>
      </c>
      <c r="B34" s="4">
        <v>45862</v>
      </c>
      <c r="C34" s="4">
        <v>45875</v>
      </c>
      <c r="D34" s="5">
        <v>13</v>
      </c>
      <c r="E34" s="3" t="s">
        <v>646</v>
      </c>
      <c r="F34" s="3" t="s">
        <v>661</v>
      </c>
      <c r="G34" s="3" t="s">
        <v>682</v>
      </c>
      <c r="H34" s="3" t="s">
        <v>702</v>
      </c>
      <c r="I34" s="3" t="s">
        <v>709</v>
      </c>
      <c r="J34" s="3" t="s">
        <v>726</v>
      </c>
      <c r="K34" s="3" t="s">
        <v>729</v>
      </c>
      <c r="L34" s="3" t="s">
        <v>766</v>
      </c>
      <c r="M34" s="3">
        <v>1463.9</v>
      </c>
      <c r="N34" s="3">
        <v>2633.02</v>
      </c>
      <c r="O34" s="3">
        <v>8.4000000000000005E-2</v>
      </c>
      <c r="P34" s="3">
        <v>4</v>
      </c>
      <c r="Q34" s="3">
        <v>9647.3852800000004</v>
      </c>
      <c r="R34" s="3">
        <f t="shared" si="0"/>
        <v>5855.6</v>
      </c>
      <c r="S34" s="3">
        <v>3791.7852800000001</v>
      </c>
      <c r="T34" s="3">
        <f t="shared" si="1"/>
        <v>0.39303761277791527</v>
      </c>
      <c r="U34" s="3" t="str">
        <f t="shared" si="2"/>
        <v>Jul-2025</v>
      </c>
      <c r="AB34" s="3">
        <f t="shared" si="3"/>
        <v>5855.6</v>
      </c>
      <c r="AC34" s="3">
        <f t="shared" si="4"/>
        <v>9647.3852800000004</v>
      </c>
    </row>
    <row r="35" spans="1:29" x14ac:dyDescent="0.35">
      <c r="A35" s="3" t="s">
        <v>48</v>
      </c>
      <c r="B35" s="4">
        <v>45400</v>
      </c>
      <c r="C35" s="4">
        <v>45420</v>
      </c>
      <c r="D35" s="5">
        <v>20</v>
      </c>
      <c r="E35" s="3" t="s">
        <v>649</v>
      </c>
      <c r="F35" s="3" t="s">
        <v>658</v>
      </c>
      <c r="G35" s="3" t="s">
        <v>683</v>
      </c>
      <c r="H35" s="3" t="s">
        <v>703</v>
      </c>
      <c r="I35" s="3" t="s">
        <v>1422</v>
      </c>
      <c r="J35" s="3" t="s">
        <v>726</v>
      </c>
      <c r="K35" s="3" t="s">
        <v>731</v>
      </c>
      <c r="L35" s="3" t="s">
        <v>767</v>
      </c>
      <c r="M35" s="3">
        <v>645.33000000000004</v>
      </c>
      <c r="N35" s="3">
        <v>1321.85</v>
      </c>
      <c r="O35" s="3">
        <v>0</v>
      </c>
      <c r="P35" s="3">
        <v>10</v>
      </c>
      <c r="Q35" s="3">
        <v>13218.5</v>
      </c>
      <c r="R35" s="3">
        <f t="shared" si="0"/>
        <v>6453.3</v>
      </c>
      <c r="S35" s="3">
        <v>6765.2</v>
      </c>
      <c r="T35" s="3">
        <f t="shared" si="1"/>
        <v>0.51179785906116426</v>
      </c>
      <c r="U35" s="3" t="str">
        <f t="shared" si="2"/>
        <v>Apr-2024</v>
      </c>
      <c r="AB35" s="3">
        <f t="shared" si="3"/>
        <v>6453.3</v>
      </c>
      <c r="AC35" s="3">
        <f t="shared" si="4"/>
        <v>13218.5</v>
      </c>
    </row>
    <row r="36" spans="1:29" x14ac:dyDescent="0.35">
      <c r="A36" s="3" t="s">
        <v>49</v>
      </c>
      <c r="B36" s="4">
        <v>45527</v>
      </c>
      <c r="C36" s="4">
        <v>45525</v>
      </c>
      <c r="D36" s="5">
        <v>2</v>
      </c>
      <c r="E36" s="3" t="s">
        <v>646</v>
      </c>
      <c r="F36" s="3" t="s">
        <v>661</v>
      </c>
      <c r="G36" s="3" t="s">
        <v>682</v>
      </c>
      <c r="H36" s="3" t="s">
        <v>702</v>
      </c>
      <c r="I36" s="3" t="s">
        <v>707</v>
      </c>
      <c r="J36" s="3" t="s">
        <v>718</v>
      </c>
      <c r="K36" s="3" t="s">
        <v>727</v>
      </c>
      <c r="L36" s="3" t="s">
        <v>768</v>
      </c>
      <c r="M36" s="3">
        <v>1432.52</v>
      </c>
      <c r="N36" s="3">
        <v>3036.87</v>
      </c>
      <c r="O36" s="3">
        <v>0</v>
      </c>
      <c r="P36" s="3">
        <v>9</v>
      </c>
      <c r="Q36" s="3">
        <v>27331.829999999998</v>
      </c>
      <c r="R36" s="3">
        <f t="shared" si="0"/>
        <v>12892.68</v>
      </c>
      <c r="S36" s="3">
        <v>14439.149999999998</v>
      </c>
      <c r="T36" s="3">
        <f t="shared" si="1"/>
        <v>0.52829064135112791</v>
      </c>
      <c r="U36" s="3" t="str">
        <f t="shared" si="2"/>
        <v>Aug-2024</v>
      </c>
      <c r="AB36" s="3">
        <f t="shared" si="3"/>
        <v>12892.68</v>
      </c>
      <c r="AC36" s="3">
        <f t="shared" si="4"/>
        <v>27331.829999999998</v>
      </c>
    </row>
    <row r="37" spans="1:29" x14ac:dyDescent="0.35">
      <c r="A37" s="3" t="s">
        <v>50</v>
      </c>
      <c r="B37" s="4">
        <v>45012</v>
      </c>
      <c r="C37" s="4">
        <v>45038</v>
      </c>
      <c r="D37" s="5">
        <v>26</v>
      </c>
      <c r="E37" s="3" t="s">
        <v>647</v>
      </c>
      <c r="F37" s="3" t="s">
        <v>654</v>
      </c>
      <c r="G37" s="3" t="s">
        <v>680</v>
      </c>
      <c r="H37" s="3" t="s">
        <v>703</v>
      </c>
      <c r="I37" s="3" t="s">
        <v>709</v>
      </c>
      <c r="J37" s="3" t="s">
        <v>713</v>
      </c>
      <c r="K37" s="3" t="s">
        <v>728</v>
      </c>
      <c r="L37" s="3" t="s">
        <v>769</v>
      </c>
      <c r="M37" s="3">
        <v>178.53</v>
      </c>
      <c r="N37" s="3">
        <v>199.37</v>
      </c>
      <c r="O37" s="3">
        <v>0.10100000000000001</v>
      </c>
      <c r="P37" s="3">
        <v>37</v>
      </c>
      <c r="Q37" s="3">
        <v>6631.6443100000006</v>
      </c>
      <c r="R37" s="3">
        <f t="shared" si="0"/>
        <v>6605.61</v>
      </c>
      <c r="S37" s="3">
        <v>26.034310000000914</v>
      </c>
      <c r="T37" s="3">
        <f t="shared" si="1"/>
        <v>3.9257699573457538E-3</v>
      </c>
      <c r="U37" s="3" t="str">
        <f t="shared" si="2"/>
        <v>Mar-2023</v>
      </c>
      <c r="AB37" s="3">
        <f t="shared" si="3"/>
        <v>6605.61</v>
      </c>
      <c r="AC37" s="3">
        <f t="shared" si="4"/>
        <v>6631.6443100000006</v>
      </c>
    </row>
    <row r="38" spans="1:29" x14ac:dyDescent="0.35">
      <c r="A38" s="3" t="s">
        <v>51</v>
      </c>
      <c r="B38" s="4">
        <v>45358</v>
      </c>
      <c r="C38" s="4">
        <v>45376</v>
      </c>
      <c r="D38" s="5">
        <v>18</v>
      </c>
      <c r="E38" s="3" t="s">
        <v>649</v>
      </c>
      <c r="F38" s="3" t="s">
        <v>656</v>
      </c>
      <c r="G38" s="3" t="s">
        <v>684</v>
      </c>
      <c r="H38" s="3" t="s">
        <v>701</v>
      </c>
      <c r="I38" s="3" t="s">
        <v>708</v>
      </c>
      <c r="J38" s="3" t="s">
        <v>717</v>
      </c>
      <c r="K38" s="3" t="s">
        <v>727</v>
      </c>
      <c r="L38" s="3" t="s">
        <v>770</v>
      </c>
      <c r="M38" s="3">
        <v>712.84</v>
      </c>
      <c r="N38" s="3">
        <v>927.51</v>
      </c>
      <c r="O38" s="3">
        <v>0.24299999999999999</v>
      </c>
      <c r="P38" s="3">
        <v>27</v>
      </c>
      <c r="Q38" s="3">
        <v>18957.37689</v>
      </c>
      <c r="R38" s="3">
        <f t="shared" si="0"/>
        <v>19246.68</v>
      </c>
      <c r="S38" s="3">
        <v>289.30311000000074</v>
      </c>
      <c r="T38" s="3">
        <f t="shared" si="1"/>
        <v>1.5260714163076427E-2</v>
      </c>
      <c r="U38" s="3" t="str">
        <f t="shared" si="2"/>
        <v>Mar-2024</v>
      </c>
      <c r="AB38" s="3">
        <f t="shared" si="3"/>
        <v>19246.68</v>
      </c>
      <c r="AC38" s="3">
        <f t="shared" si="4"/>
        <v>20034.216</v>
      </c>
    </row>
    <row r="39" spans="1:29" x14ac:dyDescent="0.35">
      <c r="A39" s="3" t="s">
        <v>52</v>
      </c>
      <c r="B39" s="4">
        <v>45832</v>
      </c>
      <c r="C39" s="4">
        <v>45848</v>
      </c>
      <c r="D39" s="5">
        <v>16</v>
      </c>
      <c r="E39" s="3" t="s">
        <v>647</v>
      </c>
      <c r="F39" s="3" t="s">
        <v>659</v>
      </c>
      <c r="G39" s="3" t="s">
        <v>685</v>
      </c>
      <c r="H39" s="3" t="s">
        <v>706</v>
      </c>
      <c r="I39" s="3" t="s">
        <v>711</v>
      </c>
      <c r="J39" s="3" t="s">
        <v>725</v>
      </c>
      <c r="K39" s="3" t="s">
        <v>727</v>
      </c>
      <c r="L39" s="3" t="s">
        <v>771</v>
      </c>
      <c r="M39" s="3">
        <v>757.19</v>
      </c>
      <c r="N39" s="3">
        <v>1735.41</v>
      </c>
      <c r="O39" s="3">
        <v>0.13600000000000001</v>
      </c>
      <c r="P39" s="3">
        <v>8</v>
      </c>
      <c r="Q39" s="3">
        <v>11995.153920000001</v>
      </c>
      <c r="R39" s="3">
        <f t="shared" si="0"/>
        <v>6057.52</v>
      </c>
      <c r="S39" s="3">
        <v>5937.6339200000002</v>
      </c>
      <c r="T39" s="3">
        <f t="shared" si="1"/>
        <v>0.4950027285685718</v>
      </c>
      <c r="U39" s="3" t="str">
        <f t="shared" si="2"/>
        <v>Jun-2025</v>
      </c>
      <c r="AB39" s="3">
        <f t="shared" si="3"/>
        <v>6057.52</v>
      </c>
      <c r="AC39" s="3">
        <f t="shared" si="4"/>
        <v>11995.153920000001</v>
      </c>
    </row>
    <row r="40" spans="1:29" x14ac:dyDescent="0.35">
      <c r="A40" s="3" t="s">
        <v>53</v>
      </c>
      <c r="B40" s="4">
        <v>45401</v>
      </c>
      <c r="C40" s="4">
        <v>45418</v>
      </c>
      <c r="D40" s="5">
        <v>17</v>
      </c>
      <c r="E40" s="3" t="s">
        <v>646</v>
      </c>
      <c r="F40" s="3" t="s">
        <v>651</v>
      </c>
      <c r="G40" s="3" t="s">
        <v>663</v>
      </c>
      <c r="H40" s="3" t="s">
        <v>703</v>
      </c>
      <c r="I40" s="3" t="s">
        <v>708</v>
      </c>
      <c r="J40" s="3" t="s">
        <v>720</v>
      </c>
      <c r="K40" s="3" t="s">
        <v>728</v>
      </c>
      <c r="L40" s="3" t="s">
        <v>772</v>
      </c>
      <c r="M40" s="3">
        <v>865.33</v>
      </c>
      <c r="N40" s="3">
        <v>1395.64</v>
      </c>
      <c r="O40" s="3">
        <v>0.17499999999999999</v>
      </c>
      <c r="P40" s="3">
        <v>13</v>
      </c>
      <c r="Q40" s="3">
        <v>14968.239</v>
      </c>
      <c r="R40" s="3">
        <f t="shared" si="0"/>
        <v>11249.29</v>
      </c>
      <c r="S40" s="3">
        <v>3718.9489999999987</v>
      </c>
      <c r="T40" s="3">
        <f t="shared" si="1"/>
        <v>0.24845601409758347</v>
      </c>
      <c r="U40" s="3" t="str">
        <f t="shared" si="2"/>
        <v>Apr-2024</v>
      </c>
      <c r="AB40" s="3">
        <f t="shared" si="3"/>
        <v>11249.29</v>
      </c>
      <c r="AC40" s="3">
        <f t="shared" si="4"/>
        <v>14968.239</v>
      </c>
    </row>
    <row r="41" spans="1:29" x14ac:dyDescent="0.35">
      <c r="A41" s="3" t="s">
        <v>54</v>
      </c>
      <c r="B41" s="4">
        <v>45094</v>
      </c>
      <c r="C41" s="4">
        <v>45101</v>
      </c>
      <c r="D41" s="5">
        <v>7</v>
      </c>
      <c r="E41" s="3" t="s">
        <v>648</v>
      </c>
      <c r="F41" s="3" t="s">
        <v>660</v>
      </c>
      <c r="G41" s="3" t="s">
        <v>686</v>
      </c>
      <c r="H41" s="3" t="s">
        <v>701</v>
      </c>
      <c r="I41" s="3" t="s">
        <v>707</v>
      </c>
      <c r="J41" s="3" t="s">
        <v>714</v>
      </c>
      <c r="K41" s="3" t="s">
        <v>728</v>
      </c>
      <c r="L41" s="3" t="s">
        <v>773</v>
      </c>
      <c r="M41" s="3">
        <v>313.99</v>
      </c>
      <c r="N41" s="3">
        <v>454.42</v>
      </c>
      <c r="O41" s="3">
        <v>0.129</v>
      </c>
      <c r="P41" s="3">
        <v>9</v>
      </c>
      <c r="Q41" s="3">
        <v>3562.1983800000003</v>
      </c>
      <c r="R41" s="3">
        <f t="shared" si="0"/>
        <v>2825.91</v>
      </c>
      <c r="S41" s="3">
        <v>736.28838000000042</v>
      </c>
      <c r="T41" s="3">
        <f t="shared" si="1"/>
        <v>0.20669493988147858</v>
      </c>
      <c r="U41" s="3" t="str">
        <f t="shared" si="2"/>
        <v>Jun-2023</v>
      </c>
      <c r="AB41" s="3">
        <f t="shared" si="3"/>
        <v>2825.91</v>
      </c>
      <c r="AC41" s="3">
        <f t="shared" si="4"/>
        <v>3562.1983800000003</v>
      </c>
    </row>
    <row r="42" spans="1:29" x14ac:dyDescent="0.35">
      <c r="A42" s="3" t="s">
        <v>55</v>
      </c>
      <c r="B42" s="4">
        <v>45531</v>
      </c>
      <c r="C42" s="4">
        <v>45554</v>
      </c>
      <c r="D42" s="5">
        <v>23</v>
      </c>
      <c r="E42" s="3" t="s">
        <v>649</v>
      </c>
      <c r="F42" s="3" t="s">
        <v>656</v>
      </c>
      <c r="G42" s="3" t="s">
        <v>671</v>
      </c>
      <c r="H42" s="3" t="s">
        <v>705</v>
      </c>
      <c r="I42" s="3" t="s">
        <v>711</v>
      </c>
      <c r="J42" s="3" t="s">
        <v>726</v>
      </c>
      <c r="K42" s="3" t="s">
        <v>732</v>
      </c>
      <c r="L42" s="3" t="s">
        <v>774</v>
      </c>
      <c r="M42" s="3">
        <v>1024.01</v>
      </c>
      <c r="N42" s="3">
        <v>1580.97</v>
      </c>
      <c r="O42" s="3">
        <v>3.6999999999999998E-2</v>
      </c>
      <c r="P42" s="3">
        <v>27</v>
      </c>
      <c r="Q42" s="3">
        <v>41106.800970000004</v>
      </c>
      <c r="R42" s="3">
        <f t="shared" si="0"/>
        <v>27648.27</v>
      </c>
      <c r="S42" s="3">
        <v>13458.530970000003</v>
      </c>
      <c r="T42" s="3">
        <f t="shared" si="1"/>
        <v>0.3274039976942531</v>
      </c>
      <c r="U42" s="3" t="str">
        <f t="shared" si="2"/>
        <v>Aug-2024</v>
      </c>
      <c r="AB42" s="3">
        <f t="shared" si="3"/>
        <v>27648.27</v>
      </c>
      <c r="AC42" s="3">
        <f t="shared" si="4"/>
        <v>41106.800970000004</v>
      </c>
    </row>
    <row r="43" spans="1:29" x14ac:dyDescent="0.35">
      <c r="A43" s="3" t="s">
        <v>56</v>
      </c>
      <c r="B43" s="4">
        <v>45302</v>
      </c>
      <c r="C43" s="4">
        <v>45324</v>
      </c>
      <c r="D43" s="5">
        <v>22</v>
      </c>
      <c r="E43" s="3" t="s">
        <v>646</v>
      </c>
      <c r="F43" s="3" t="s">
        <v>661</v>
      </c>
      <c r="G43" s="3" t="s">
        <v>687</v>
      </c>
      <c r="H43" s="3" t="s">
        <v>704</v>
      </c>
      <c r="I43" s="3" t="s">
        <v>708</v>
      </c>
      <c r="J43" s="3" t="s">
        <v>723</v>
      </c>
      <c r="K43" s="3" t="s">
        <v>729</v>
      </c>
      <c r="L43" s="3" t="s">
        <v>775</v>
      </c>
      <c r="M43" s="3">
        <v>1206.2</v>
      </c>
      <c r="N43" s="3">
        <v>1759.79</v>
      </c>
      <c r="O43" s="3">
        <v>0</v>
      </c>
      <c r="P43" s="3">
        <v>6</v>
      </c>
      <c r="Q43" s="3">
        <v>10558.74</v>
      </c>
      <c r="R43" s="3">
        <f t="shared" si="0"/>
        <v>7237.2000000000007</v>
      </c>
      <c r="S43" s="3">
        <v>3321.5399999999991</v>
      </c>
      <c r="T43" s="3">
        <f t="shared" si="1"/>
        <v>0.31457730751964713</v>
      </c>
      <c r="U43" s="3" t="str">
        <f t="shared" si="2"/>
        <v>Jan-2024</v>
      </c>
      <c r="AB43" s="3">
        <f t="shared" si="3"/>
        <v>7237.2000000000007</v>
      </c>
      <c r="AC43" s="3">
        <f t="shared" si="4"/>
        <v>10558.74</v>
      </c>
    </row>
    <row r="44" spans="1:29" x14ac:dyDescent="0.35">
      <c r="A44" s="3" t="s">
        <v>57</v>
      </c>
      <c r="B44" s="4">
        <v>45590</v>
      </c>
      <c r="C44" s="4">
        <v>45610</v>
      </c>
      <c r="D44" s="5">
        <v>20</v>
      </c>
      <c r="E44" s="3" t="s">
        <v>646</v>
      </c>
      <c r="F44" s="3" t="s">
        <v>650</v>
      </c>
      <c r="G44" s="3" t="s">
        <v>675</v>
      </c>
      <c r="H44" s="3" t="s">
        <v>701</v>
      </c>
      <c r="I44" s="3" t="s">
        <v>711</v>
      </c>
      <c r="J44" s="3" t="s">
        <v>722</v>
      </c>
      <c r="K44" s="3" t="s">
        <v>728</v>
      </c>
      <c r="L44" s="3" t="s">
        <v>776</v>
      </c>
      <c r="M44" s="3">
        <v>1396.48</v>
      </c>
      <c r="N44" s="3">
        <v>3204.5</v>
      </c>
      <c r="O44" s="3">
        <v>0.318</v>
      </c>
      <c r="P44" s="3">
        <v>14</v>
      </c>
      <c r="Q44" s="3">
        <v>30596.565999999999</v>
      </c>
      <c r="R44" s="3">
        <f t="shared" si="0"/>
        <v>19550.72</v>
      </c>
      <c r="S44" s="3">
        <v>11045.845999999998</v>
      </c>
      <c r="T44" s="3">
        <f t="shared" si="1"/>
        <v>0.36101587348070363</v>
      </c>
      <c r="U44" s="3" t="str">
        <f t="shared" si="2"/>
        <v>Oct-2024</v>
      </c>
      <c r="AB44" s="3">
        <f t="shared" si="3"/>
        <v>19550.72</v>
      </c>
      <c r="AC44" s="3">
        <f t="shared" si="4"/>
        <v>35890.400000000001</v>
      </c>
    </row>
    <row r="45" spans="1:29" x14ac:dyDescent="0.35">
      <c r="A45" s="3" t="s">
        <v>58</v>
      </c>
      <c r="B45" s="4">
        <v>45806</v>
      </c>
      <c r="C45" s="4">
        <v>45828</v>
      </c>
      <c r="D45" s="5">
        <v>22</v>
      </c>
      <c r="E45" s="3" t="s">
        <v>649</v>
      </c>
      <c r="F45" s="3" t="s">
        <v>656</v>
      </c>
      <c r="G45" s="3" t="s">
        <v>671</v>
      </c>
      <c r="H45" s="3" t="s">
        <v>701</v>
      </c>
      <c r="I45" s="3" t="s">
        <v>711</v>
      </c>
      <c r="J45" s="3" t="s">
        <v>720</v>
      </c>
      <c r="K45" s="3" t="s">
        <v>728</v>
      </c>
      <c r="L45" s="3" t="s">
        <v>777</v>
      </c>
      <c r="M45" s="3">
        <v>483.47</v>
      </c>
      <c r="N45" s="3">
        <v>1135.43</v>
      </c>
      <c r="O45" s="3">
        <v>0.14599999999999999</v>
      </c>
      <c r="P45" s="3">
        <v>11</v>
      </c>
      <c r="Q45" s="3">
        <v>10666.229420000001</v>
      </c>
      <c r="R45" s="3">
        <f t="shared" si="0"/>
        <v>5318.17</v>
      </c>
      <c r="S45" s="3">
        <v>5348.0594200000014</v>
      </c>
      <c r="T45" s="3">
        <f t="shared" si="1"/>
        <v>0.50140112399719983</v>
      </c>
      <c r="U45" s="3" t="str">
        <f t="shared" si="2"/>
        <v>May-2025</v>
      </c>
      <c r="AB45" s="3">
        <f t="shared" si="3"/>
        <v>5318.17</v>
      </c>
      <c r="AC45" s="3">
        <f t="shared" si="4"/>
        <v>10666.229420000001</v>
      </c>
    </row>
    <row r="46" spans="1:29" x14ac:dyDescent="0.35">
      <c r="A46" s="3" t="s">
        <v>59</v>
      </c>
      <c r="B46" s="4">
        <v>45432</v>
      </c>
      <c r="C46" s="4">
        <v>45445</v>
      </c>
      <c r="D46" s="5">
        <v>13</v>
      </c>
      <c r="E46" s="3" t="s">
        <v>648</v>
      </c>
      <c r="F46" s="3" t="s">
        <v>653</v>
      </c>
      <c r="G46" s="3" t="s">
        <v>688</v>
      </c>
      <c r="H46" s="3" t="s">
        <v>706</v>
      </c>
      <c r="I46" s="3" t="s">
        <v>709</v>
      </c>
      <c r="J46" s="3" t="s">
        <v>723</v>
      </c>
      <c r="K46" s="3" t="s">
        <v>727</v>
      </c>
      <c r="L46" s="3" t="s">
        <v>778</v>
      </c>
      <c r="M46" s="3">
        <v>675.43</v>
      </c>
      <c r="N46" s="3">
        <v>996.36</v>
      </c>
      <c r="O46" s="3">
        <v>0.182</v>
      </c>
      <c r="P46" s="3">
        <v>22</v>
      </c>
      <c r="Q46" s="3">
        <v>17930.494560000003</v>
      </c>
      <c r="R46" s="3">
        <f t="shared" si="0"/>
        <v>14859.46</v>
      </c>
      <c r="S46" s="3">
        <v>3071.0345600000037</v>
      </c>
      <c r="T46" s="3">
        <f t="shared" si="1"/>
        <v>0.17127439233332575</v>
      </c>
      <c r="U46" s="3" t="str">
        <f t="shared" si="2"/>
        <v>May-2024</v>
      </c>
      <c r="AB46" s="3">
        <f t="shared" si="3"/>
        <v>14859.46</v>
      </c>
      <c r="AC46" s="3">
        <f t="shared" si="4"/>
        <v>17930.494560000003</v>
      </c>
    </row>
    <row r="47" spans="1:29" x14ac:dyDescent="0.35">
      <c r="A47" s="3" t="s">
        <v>60</v>
      </c>
      <c r="B47" s="4">
        <v>45035</v>
      </c>
      <c r="C47" s="4">
        <v>45046</v>
      </c>
      <c r="D47" s="5">
        <v>11</v>
      </c>
      <c r="E47" s="3" t="s">
        <v>647</v>
      </c>
      <c r="F47" s="3" t="s">
        <v>654</v>
      </c>
      <c r="G47" s="3" t="s">
        <v>680</v>
      </c>
      <c r="H47" s="3" t="s">
        <v>705</v>
      </c>
      <c r="I47" s="3" t="s">
        <v>707</v>
      </c>
      <c r="J47" s="3" t="s">
        <v>720</v>
      </c>
      <c r="K47" s="3" t="s">
        <v>729</v>
      </c>
      <c r="L47" s="3" t="s">
        <v>779</v>
      </c>
      <c r="M47" s="3">
        <v>826.55</v>
      </c>
      <c r="N47" s="3">
        <v>1397.05</v>
      </c>
      <c r="O47" s="3">
        <v>0.16900000000000001</v>
      </c>
      <c r="P47" s="3">
        <v>28</v>
      </c>
      <c r="Q47" s="3">
        <v>32506.559399999998</v>
      </c>
      <c r="R47" s="3">
        <f t="shared" si="0"/>
        <v>23143.399999999998</v>
      </c>
      <c r="S47" s="3">
        <v>9363.1594000000005</v>
      </c>
      <c r="T47" s="3">
        <f t="shared" si="1"/>
        <v>0.28803907804527601</v>
      </c>
      <c r="U47" s="3" t="str">
        <f t="shared" si="2"/>
        <v>Apr-2023</v>
      </c>
      <c r="AB47" s="3">
        <f t="shared" si="3"/>
        <v>23143.399999999998</v>
      </c>
      <c r="AC47" s="3">
        <f t="shared" si="4"/>
        <v>32506.559399999998</v>
      </c>
    </row>
    <row r="48" spans="1:29" x14ac:dyDescent="0.35">
      <c r="A48" s="3" t="s">
        <v>61</v>
      </c>
      <c r="B48" s="4">
        <v>45100</v>
      </c>
      <c r="C48" s="4">
        <v>45110</v>
      </c>
      <c r="D48" s="5">
        <v>10</v>
      </c>
      <c r="E48" s="3" t="s">
        <v>646</v>
      </c>
      <c r="F48" s="3" t="s">
        <v>651</v>
      </c>
      <c r="G48" s="3" t="s">
        <v>669</v>
      </c>
      <c r="H48" s="3" t="s">
        <v>704</v>
      </c>
      <c r="I48" s="3" t="s">
        <v>708</v>
      </c>
      <c r="J48" s="3" t="s">
        <v>713</v>
      </c>
      <c r="K48" s="3" t="s">
        <v>728</v>
      </c>
      <c r="L48" s="3" t="s">
        <v>780</v>
      </c>
      <c r="M48" s="3">
        <v>337.75</v>
      </c>
      <c r="N48" s="3">
        <v>548.89</v>
      </c>
      <c r="O48" s="3">
        <v>0</v>
      </c>
      <c r="P48" s="3">
        <v>13</v>
      </c>
      <c r="Q48" s="3">
        <v>7135.57</v>
      </c>
      <c r="R48" s="3">
        <f t="shared" si="0"/>
        <v>4390.75</v>
      </c>
      <c r="S48" s="3">
        <v>2744.8199999999997</v>
      </c>
      <c r="T48" s="3">
        <f t="shared" si="1"/>
        <v>0.38466723751571352</v>
      </c>
      <c r="U48" s="3" t="str">
        <f t="shared" si="2"/>
        <v>Jun-2023</v>
      </c>
      <c r="AB48" s="3">
        <f t="shared" si="3"/>
        <v>4390.75</v>
      </c>
      <c r="AC48" s="3">
        <f t="shared" si="4"/>
        <v>7135.57</v>
      </c>
    </row>
    <row r="49" spans="1:29" x14ac:dyDescent="0.35">
      <c r="A49" s="3" t="s">
        <v>62</v>
      </c>
      <c r="B49" s="4">
        <v>45426</v>
      </c>
      <c r="C49" s="4">
        <v>45440</v>
      </c>
      <c r="D49" s="5">
        <v>14</v>
      </c>
      <c r="E49" s="3" t="s">
        <v>649</v>
      </c>
      <c r="F49" s="3" t="s">
        <v>658</v>
      </c>
      <c r="G49" s="3" t="s">
        <v>674</v>
      </c>
      <c r="H49" s="3" t="s">
        <v>704</v>
      </c>
      <c r="I49" s="3" t="s">
        <v>707</v>
      </c>
      <c r="J49" s="3" t="s">
        <v>717</v>
      </c>
      <c r="K49" s="3" t="s">
        <v>729</v>
      </c>
      <c r="L49" s="3" t="s">
        <v>781</v>
      </c>
      <c r="M49" s="3">
        <v>1421.14</v>
      </c>
      <c r="N49" s="3">
        <v>3524</v>
      </c>
      <c r="O49" s="3">
        <v>0</v>
      </c>
      <c r="P49" s="3">
        <v>31</v>
      </c>
      <c r="Q49" s="3">
        <v>109244</v>
      </c>
      <c r="R49" s="3">
        <f t="shared" si="0"/>
        <v>44055.340000000004</v>
      </c>
      <c r="S49" s="3">
        <v>65188.659999999996</v>
      </c>
      <c r="T49" s="3">
        <f t="shared" si="1"/>
        <v>0.59672531214528945</v>
      </c>
      <c r="U49" s="3" t="str">
        <f t="shared" si="2"/>
        <v>May-2024</v>
      </c>
      <c r="AB49" s="3">
        <f t="shared" si="3"/>
        <v>44055.340000000004</v>
      </c>
      <c r="AC49" s="3">
        <f t="shared" si="4"/>
        <v>109244</v>
      </c>
    </row>
    <row r="50" spans="1:29" x14ac:dyDescent="0.35">
      <c r="A50" s="3" t="s">
        <v>63</v>
      </c>
      <c r="B50" s="4">
        <v>45579</v>
      </c>
      <c r="C50" s="4">
        <v>45604</v>
      </c>
      <c r="D50" s="5">
        <v>25</v>
      </c>
      <c r="E50" s="3" t="s">
        <v>646</v>
      </c>
      <c r="F50" s="3" t="s">
        <v>651</v>
      </c>
      <c r="G50" s="3" t="s">
        <v>665</v>
      </c>
      <c r="H50" s="3" t="s">
        <v>706</v>
      </c>
      <c r="I50" s="3" t="s">
        <v>708</v>
      </c>
      <c r="J50" s="3" t="s">
        <v>719</v>
      </c>
      <c r="K50" s="3" t="s">
        <v>729</v>
      </c>
      <c r="L50" s="3" t="s">
        <v>782</v>
      </c>
      <c r="M50" s="3">
        <v>859.35</v>
      </c>
      <c r="N50" s="3">
        <v>1825.61</v>
      </c>
      <c r="O50" s="3">
        <v>0.187</v>
      </c>
      <c r="P50" s="3">
        <v>24</v>
      </c>
      <c r="Q50" s="3">
        <v>35621.302319999995</v>
      </c>
      <c r="R50" s="3">
        <f t="shared" si="0"/>
        <v>20624.400000000001</v>
      </c>
      <c r="S50" s="3">
        <v>14996.902319999994</v>
      </c>
      <c r="T50" s="3">
        <f t="shared" si="1"/>
        <v>0.42100937762681989</v>
      </c>
      <c r="U50" s="3" t="str">
        <f t="shared" si="2"/>
        <v>Oct-2024</v>
      </c>
      <c r="AB50" s="3">
        <f t="shared" si="3"/>
        <v>20624.400000000001</v>
      </c>
      <c r="AC50" s="3">
        <f t="shared" si="4"/>
        <v>35621.302319999995</v>
      </c>
    </row>
    <row r="51" spans="1:29" x14ac:dyDescent="0.35">
      <c r="A51" s="3" t="s">
        <v>64</v>
      </c>
      <c r="B51" s="4">
        <v>45117</v>
      </c>
      <c r="C51" s="4">
        <v>45139</v>
      </c>
      <c r="D51" s="5">
        <v>22</v>
      </c>
      <c r="E51" s="3" t="s">
        <v>649</v>
      </c>
      <c r="F51" s="3" t="s">
        <v>657</v>
      </c>
      <c r="G51" s="3" t="s">
        <v>673</v>
      </c>
      <c r="H51" s="3" t="s">
        <v>704</v>
      </c>
      <c r="I51" s="3" t="s">
        <v>709</v>
      </c>
      <c r="J51" s="3" t="s">
        <v>717</v>
      </c>
      <c r="K51" s="3" t="s">
        <v>728</v>
      </c>
      <c r="L51" s="3" t="s">
        <v>783</v>
      </c>
      <c r="M51" s="3">
        <v>1303.56</v>
      </c>
      <c r="N51" s="3">
        <v>1791.37</v>
      </c>
      <c r="O51" s="3">
        <v>0.126</v>
      </c>
      <c r="P51" s="3">
        <v>22</v>
      </c>
      <c r="Q51" s="3">
        <v>34444.462359999998</v>
      </c>
      <c r="R51" s="3">
        <f t="shared" si="0"/>
        <v>28678.32</v>
      </c>
      <c r="S51" s="3">
        <v>5766.142359999998</v>
      </c>
      <c r="T51" s="3">
        <f t="shared" si="1"/>
        <v>0.16740404596055358</v>
      </c>
      <c r="U51" s="3" t="str">
        <f t="shared" si="2"/>
        <v>Jul-2023</v>
      </c>
      <c r="AB51" s="3">
        <f t="shared" si="3"/>
        <v>28678.32</v>
      </c>
      <c r="AC51" s="3">
        <f t="shared" si="4"/>
        <v>34444.462359999998</v>
      </c>
    </row>
    <row r="52" spans="1:29" x14ac:dyDescent="0.35">
      <c r="A52" s="3" t="s">
        <v>65</v>
      </c>
      <c r="B52" s="4">
        <v>45602</v>
      </c>
      <c r="C52" s="4">
        <v>45618</v>
      </c>
      <c r="D52" s="5">
        <v>16</v>
      </c>
      <c r="E52" s="3" t="s">
        <v>648</v>
      </c>
      <c r="F52" s="3" t="s">
        <v>653</v>
      </c>
      <c r="G52" s="3" t="s">
        <v>667</v>
      </c>
      <c r="H52" s="3" t="s">
        <v>703</v>
      </c>
      <c r="I52" s="3" t="s">
        <v>710</v>
      </c>
      <c r="J52" s="3" t="s">
        <v>726</v>
      </c>
      <c r="K52" s="3" t="s">
        <v>733</v>
      </c>
      <c r="L52" s="3" t="s">
        <v>784</v>
      </c>
      <c r="M52" s="3">
        <v>1454.11</v>
      </c>
      <c r="N52" s="3">
        <v>2629.75</v>
      </c>
      <c r="O52" s="3">
        <v>0.29199999999999998</v>
      </c>
      <c r="P52" s="3">
        <v>8</v>
      </c>
      <c r="Q52" s="3">
        <v>14894.903999999999</v>
      </c>
      <c r="R52" s="3">
        <f t="shared" si="0"/>
        <v>11632.88</v>
      </c>
      <c r="S52" s="3">
        <v>3262.0239999999994</v>
      </c>
      <c r="T52" s="3">
        <f t="shared" si="1"/>
        <v>0.21900268709351867</v>
      </c>
      <c r="U52" s="3" t="str">
        <f t="shared" si="2"/>
        <v>Nov-2024</v>
      </c>
      <c r="AB52" s="3">
        <f t="shared" si="3"/>
        <v>11632.88</v>
      </c>
      <c r="AC52" s="3">
        <f t="shared" si="4"/>
        <v>16830.400000000001</v>
      </c>
    </row>
    <row r="53" spans="1:29" x14ac:dyDescent="0.35">
      <c r="A53" s="3" t="s">
        <v>66</v>
      </c>
      <c r="B53" s="4">
        <v>45582</v>
      </c>
      <c r="C53" s="4">
        <v>45602</v>
      </c>
      <c r="D53" s="5">
        <v>20</v>
      </c>
      <c r="E53" s="3" t="s">
        <v>647</v>
      </c>
      <c r="F53" s="3" t="s">
        <v>654</v>
      </c>
      <c r="G53" s="3" t="s">
        <v>668</v>
      </c>
      <c r="H53" s="3" t="s">
        <v>706</v>
      </c>
      <c r="I53" s="3" t="s">
        <v>710</v>
      </c>
      <c r="J53" s="3" t="s">
        <v>719</v>
      </c>
      <c r="K53" s="3" t="s">
        <v>732</v>
      </c>
      <c r="L53" s="3" t="s">
        <v>785</v>
      </c>
      <c r="M53" s="3">
        <v>72.94</v>
      </c>
      <c r="N53" s="3">
        <v>106.3</v>
      </c>
      <c r="O53" s="3">
        <v>0.29499999999999998</v>
      </c>
      <c r="P53" s="3">
        <v>8</v>
      </c>
      <c r="Q53" s="3">
        <v>599.53200000000004</v>
      </c>
      <c r="R53" s="3">
        <f t="shared" si="0"/>
        <v>583.52</v>
      </c>
      <c r="S53" s="3">
        <v>16.012000000000057</v>
      </c>
      <c r="T53" s="3">
        <f t="shared" si="1"/>
        <v>2.6707498515508857E-2</v>
      </c>
      <c r="U53" s="3" t="str">
        <f t="shared" si="2"/>
        <v>Oct-2024</v>
      </c>
      <c r="AB53" s="3">
        <f t="shared" si="3"/>
        <v>583.52</v>
      </c>
      <c r="AC53" s="3">
        <f t="shared" si="4"/>
        <v>680.32</v>
      </c>
    </row>
    <row r="54" spans="1:29" x14ac:dyDescent="0.35">
      <c r="A54" s="3" t="s">
        <v>67</v>
      </c>
      <c r="B54" s="4">
        <v>45016</v>
      </c>
      <c r="C54" s="4">
        <v>45021</v>
      </c>
      <c r="D54" s="5">
        <v>5</v>
      </c>
      <c r="E54" s="3" t="s">
        <v>646</v>
      </c>
      <c r="F54" s="3" t="s">
        <v>650</v>
      </c>
      <c r="G54" s="3" t="s">
        <v>678</v>
      </c>
      <c r="H54" s="3" t="s">
        <v>702</v>
      </c>
      <c r="I54" s="3" t="s">
        <v>709</v>
      </c>
      <c r="J54" s="3" t="s">
        <v>717</v>
      </c>
      <c r="K54" s="3" t="s">
        <v>731</v>
      </c>
      <c r="L54" s="3" t="s">
        <v>786</v>
      </c>
      <c r="M54" s="3">
        <v>533.26</v>
      </c>
      <c r="N54" s="3">
        <v>385.72</v>
      </c>
      <c r="O54" s="3">
        <v>0</v>
      </c>
      <c r="P54" s="3">
        <v>15</v>
      </c>
      <c r="Q54" s="3">
        <v>5785.8</v>
      </c>
      <c r="R54" s="3">
        <f t="shared" si="0"/>
        <v>7998.9</v>
      </c>
      <c r="S54" s="3">
        <v>2213.0999999999995</v>
      </c>
      <c r="T54" s="3">
        <f t="shared" si="1"/>
        <v>0.38250544436378708</v>
      </c>
      <c r="U54" s="3" t="str">
        <f t="shared" si="2"/>
        <v>Mar-2023</v>
      </c>
      <c r="AB54" s="3">
        <f t="shared" si="3"/>
        <v>7998.9</v>
      </c>
      <c r="AC54" s="3">
        <f t="shared" si="4"/>
        <v>5785.8</v>
      </c>
    </row>
    <row r="55" spans="1:29" x14ac:dyDescent="0.35">
      <c r="A55" s="3" t="s">
        <v>68</v>
      </c>
      <c r="B55" s="4">
        <v>45678</v>
      </c>
      <c r="C55" s="4">
        <v>45704</v>
      </c>
      <c r="D55" s="5">
        <v>26</v>
      </c>
      <c r="E55" s="3" t="s">
        <v>649</v>
      </c>
      <c r="F55" s="3" t="s">
        <v>657</v>
      </c>
      <c r="G55" s="3" t="s">
        <v>679</v>
      </c>
      <c r="H55" s="3" t="s">
        <v>701</v>
      </c>
      <c r="I55" s="3" t="s">
        <v>710</v>
      </c>
      <c r="J55" s="3" t="s">
        <v>719</v>
      </c>
      <c r="K55" s="3" t="s">
        <v>731</v>
      </c>
      <c r="L55" s="3" t="s">
        <v>787</v>
      </c>
      <c r="M55" s="3">
        <v>204.11</v>
      </c>
      <c r="N55" s="3">
        <v>236.87</v>
      </c>
      <c r="O55" s="3">
        <v>0.182</v>
      </c>
      <c r="P55" s="3">
        <v>13</v>
      </c>
      <c r="Q55" s="3">
        <v>2518.8755800000004</v>
      </c>
      <c r="R55" s="3">
        <f t="shared" si="0"/>
        <v>2653.4300000000003</v>
      </c>
      <c r="S55" s="3">
        <v>134.55441999999994</v>
      </c>
      <c r="T55" s="3">
        <f t="shared" si="1"/>
        <v>5.3418446337075494E-2</v>
      </c>
      <c r="U55" s="3" t="str">
        <f t="shared" si="2"/>
        <v>Jan-2025</v>
      </c>
      <c r="AB55" s="3">
        <f t="shared" si="3"/>
        <v>2653.4300000000003</v>
      </c>
      <c r="AC55" s="3">
        <f t="shared" si="4"/>
        <v>2518.8755800000004</v>
      </c>
    </row>
    <row r="56" spans="1:29" x14ac:dyDescent="0.35">
      <c r="A56" s="3" t="s">
        <v>69</v>
      </c>
      <c r="B56" s="4">
        <v>45168</v>
      </c>
      <c r="C56" s="4">
        <v>45170</v>
      </c>
      <c r="D56" s="5">
        <v>2</v>
      </c>
      <c r="E56" s="3" t="s">
        <v>649</v>
      </c>
      <c r="F56" s="3" t="s">
        <v>656</v>
      </c>
      <c r="G56" s="3" t="s">
        <v>684</v>
      </c>
      <c r="H56" s="3" t="s">
        <v>701</v>
      </c>
      <c r="I56" s="3" t="s">
        <v>711</v>
      </c>
      <c r="J56" s="3" t="s">
        <v>725</v>
      </c>
      <c r="K56" s="3" t="s">
        <v>729</v>
      </c>
      <c r="L56" s="3" t="s">
        <v>788</v>
      </c>
      <c r="M56" s="3">
        <v>44.42</v>
      </c>
      <c r="N56" s="3">
        <v>41.9</v>
      </c>
      <c r="O56" s="3">
        <v>0.14399999999999999</v>
      </c>
      <c r="P56" s="3">
        <v>6</v>
      </c>
      <c r="Q56" s="3">
        <v>215.19839999999996</v>
      </c>
      <c r="R56" s="3">
        <f t="shared" si="0"/>
        <v>266.52</v>
      </c>
      <c r="S56" s="3">
        <v>51.321600000000018</v>
      </c>
      <c r="T56" s="3">
        <f t="shared" si="1"/>
        <v>0.23848504449847224</v>
      </c>
      <c r="U56" s="3" t="str">
        <f t="shared" si="2"/>
        <v>Aug-2023</v>
      </c>
      <c r="AB56" s="3">
        <f t="shared" si="3"/>
        <v>266.52</v>
      </c>
      <c r="AC56" s="3">
        <f t="shared" si="4"/>
        <v>215.19839999999996</v>
      </c>
    </row>
    <row r="57" spans="1:29" x14ac:dyDescent="0.35">
      <c r="A57" s="3" t="s">
        <v>70</v>
      </c>
      <c r="B57" s="4">
        <v>45753</v>
      </c>
      <c r="C57" s="4">
        <v>45777</v>
      </c>
      <c r="D57" s="5">
        <v>24</v>
      </c>
      <c r="E57" s="3" t="s">
        <v>648</v>
      </c>
      <c r="F57" s="3" t="s">
        <v>655</v>
      </c>
      <c r="G57" s="3" t="s">
        <v>672</v>
      </c>
      <c r="H57" s="3" t="s">
        <v>702</v>
      </c>
      <c r="I57" s="3" t="s">
        <v>708</v>
      </c>
      <c r="J57" s="3" t="s">
        <v>723</v>
      </c>
      <c r="K57" s="3" t="s">
        <v>732</v>
      </c>
      <c r="L57" s="3" t="s">
        <v>789</v>
      </c>
      <c r="M57" s="3">
        <v>855.78</v>
      </c>
      <c r="N57" s="3">
        <v>977.38</v>
      </c>
      <c r="O57" s="3">
        <v>0.14699999999999999</v>
      </c>
      <c r="P57" s="3">
        <v>38</v>
      </c>
      <c r="Q57" s="3">
        <v>31680.795320000001</v>
      </c>
      <c r="R57" s="3">
        <f t="shared" si="0"/>
        <v>32519.64</v>
      </c>
      <c r="S57" s="3">
        <v>838.84467999999833</v>
      </c>
      <c r="T57" s="3">
        <f t="shared" si="1"/>
        <v>2.6478018355506307E-2</v>
      </c>
      <c r="U57" s="3" t="str">
        <f t="shared" si="2"/>
        <v>Apr-2025</v>
      </c>
      <c r="AB57" s="3">
        <f t="shared" si="3"/>
        <v>32519.64</v>
      </c>
      <c r="AC57" s="3">
        <f t="shared" si="4"/>
        <v>31680.795320000001</v>
      </c>
    </row>
    <row r="58" spans="1:29" x14ac:dyDescent="0.35">
      <c r="A58" s="3" t="s">
        <v>71</v>
      </c>
      <c r="B58" s="4">
        <v>45697</v>
      </c>
      <c r="C58" s="4">
        <v>45717</v>
      </c>
      <c r="D58" s="5">
        <v>20</v>
      </c>
      <c r="E58" s="3" t="s">
        <v>648</v>
      </c>
      <c r="F58" s="3" t="s">
        <v>655</v>
      </c>
      <c r="G58" s="3" t="s">
        <v>670</v>
      </c>
      <c r="H58" s="3" t="s">
        <v>701</v>
      </c>
      <c r="I58" s="3" t="s">
        <v>710</v>
      </c>
      <c r="J58" s="3" t="s">
        <v>717</v>
      </c>
      <c r="K58" s="3" t="s">
        <v>731</v>
      </c>
      <c r="L58" s="3" t="s">
        <v>790</v>
      </c>
      <c r="M58" s="3">
        <v>1154.6400000000001</v>
      </c>
      <c r="N58" s="3">
        <v>2794.13</v>
      </c>
      <c r="O58" s="3">
        <v>3.5000000000000003E-2</v>
      </c>
      <c r="P58" s="3">
        <v>11</v>
      </c>
      <c r="Q58" s="3">
        <v>29659.68995</v>
      </c>
      <c r="R58" s="3">
        <f t="shared" si="0"/>
        <v>12701.04</v>
      </c>
      <c r="S58" s="3">
        <v>16958.649949999999</v>
      </c>
      <c r="T58" s="3">
        <f t="shared" si="1"/>
        <v>0.57177435025749479</v>
      </c>
      <c r="U58" s="3" t="str">
        <f t="shared" si="2"/>
        <v>Feb-2025</v>
      </c>
      <c r="AB58" s="3">
        <f t="shared" si="3"/>
        <v>12701.04</v>
      </c>
      <c r="AC58" s="3">
        <f t="shared" si="4"/>
        <v>29659.68995</v>
      </c>
    </row>
    <row r="59" spans="1:29" x14ac:dyDescent="0.35">
      <c r="A59" s="3" t="s">
        <v>72</v>
      </c>
      <c r="B59" s="4">
        <v>45643</v>
      </c>
      <c r="C59" s="4">
        <v>45644</v>
      </c>
      <c r="D59" s="5">
        <v>1</v>
      </c>
      <c r="E59" s="3" t="s">
        <v>649</v>
      </c>
      <c r="F59" s="3" t="s">
        <v>656</v>
      </c>
      <c r="G59" s="3" t="s">
        <v>684</v>
      </c>
      <c r="H59" s="3" t="s">
        <v>702</v>
      </c>
      <c r="I59" s="3" t="s">
        <v>707</v>
      </c>
      <c r="J59" s="3" t="s">
        <v>716</v>
      </c>
      <c r="K59" s="3" t="s">
        <v>733</v>
      </c>
      <c r="L59" s="3" t="s">
        <v>791</v>
      </c>
      <c r="M59" s="3">
        <v>346.82</v>
      </c>
      <c r="N59" s="3">
        <v>701.95</v>
      </c>
      <c r="O59" s="3">
        <v>0.14699999999999999</v>
      </c>
      <c r="P59" s="3">
        <v>8</v>
      </c>
      <c r="Q59" s="3">
        <v>4790.1068000000005</v>
      </c>
      <c r="R59" s="3">
        <f t="shared" si="0"/>
        <v>2774.56</v>
      </c>
      <c r="S59" s="3">
        <v>2015.5468000000005</v>
      </c>
      <c r="T59" s="3">
        <f t="shared" si="1"/>
        <v>0.42077283120284509</v>
      </c>
      <c r="U59" s="3" t="str">
        <f t="shared" si="2"/>
        <v>Dec-2024</v>
      </c>
      <c r="AB59" s="3">
        <f t="shared" si="3"/>
        <v>2774.56</v>
      </c>
      <c r="AC59" s="3">
        <f t="shared" si="4"/>
        <v>4790.1068000000005</v>
      </c>
    </row>
    <row r="60" spans="1:29" x14ac:dyDescent="0.35">
      <c r="A60" s="3" t="s">
        <v>73</v>
      </c>
      <c r="B60" s="4">
        <v>45817</v>
      </c>
      <c r="C60" s="4">
        <v>45826</v>
      </c>
      <c r="D60" s="5">
        <v>9</v>
      </c>
      <c r="E60" s="3" t="s">
        <v>649</v>
      </c>
      <c r="F60" s="3" t="s">
        <v>657</v>
      </c>
      <c r="G60" s="3" t="s">
        <v>673</v>
      </c>
      <c r="H60" s="3" t="s">
        <v>705</v>
      </c>
      <c r="I60" s="3" t="s">
        <v>709</v>
      </c>
      <c r="J60" s="3" t="s">
        <v>722</v>
      </c>
      <c r="K60" s="3" t="s">
        <v>733</v>
      </c>
      <c r="L60" s="3" t="s">
        <v>792</v>
      </c>
      <c r="M60" s="3">
        <v>1225.5</v>
      </c>
      <c r="N60" s="3">
        <v>5.27</v>
      </c>
      <c r="O60" s="3">
        <v>7.4999999999999997E-2</v>
      </c>
      <c r="P60" s="3">
        <v>56</v>
      </c>
      <c r="Q60" s="3">
        <v>272.98599999999999</v>
      </c>
      <c r="R60" s="3">
        <f t="shared" si="0"/>
        <v>68628</v>
      </c>
      <c r="S60" s="3">
        <v>68355.013999999996</v>
      </c>
      <c r="T60" s="3">
        <f t="shared" si="1"/>
        <v>250.39750756449047</v>
      </c>
      <c r="U60" s="3" t="str">
        <f t="shared" si="2"/>
        <v>Jun-2025</v>
      </c>
      <c r="AB60" s="3">
        <f t="shared" si="3"/>
        <v>68628</v>
      </c>
      <c r="AC60" s="3">
        <f t="shared" si="4"/>
        <v>272.98599999999999</v>
      </c>
    </row>
    <row r="61" spans="1:29" x14ac:dyDescent="0.35">
      <c r="A61" s="3" t="s">
        <v>74</v>
      </c>
      <c r="B61" s="4">
        <v>45779</v>
      </c>
      <c r="C61" s="4">
        <v>45790</v>
      </c>
      <c r="D61" s="5">
        <v>11</v>
      </c>
      <c r="E61" s="3" t="s">
        <v>646</v>
      </c>
      <c r="F61" s="3" t="s">
        <v>650</v>
      </c>
      <c r="G61" s="3" t="s">
        <v>678</v>
      </c>
      <c r="H61" s="3" t="s">
        <v>705</v>
      </c>
      <c r="I61" s="3" t="s">
        <v>708</v>
      </c>
      <c r="J61" s="3" t="s">
        <v>720</v>
      </c>
      <c r="K61" s="3" t="s">
        <v>733</v>
      </c>
      <c r="L61" s="3" t="s">
        <v>793</v>
      </c>
      <c r="M61" s="3">
        <v>1057.5999999999999</v>
      </c>
      <c r="N61" s="3">
        <v>1437.06</v>
      </c>
      <c r="O61" s="3">
        <v>0.20499999999999999</v>
      </c>
      <c r="P61" s="3">
        <v>4</v>
      </c>
      <c r="Q61" s="3">
        <v>4569.8508000000002</v>
      </c>
      <c r="R61" s="3">
        <f t="shared" si="0"/>
        <v>4230.3999999999996</v>
      </c>
      <c r="S61" s="3">
        <v>339.45080000000053</v>
      </c>
      <c r="T61" s="3">
        <f t="shared" si="1"/>
        <v>7.4280499485891424E-2</v>
      </c>
      <c r="U61" s="3" t="str">
        <f t="shared" si="2"/>
        <v>May-2025</v>
      </c>
      <c r="AB61" s="3">
        <f t="shared" si="3"/>
        <v>4230.3999999999996</v>
      </c>
      <c r="AC61" s="3">
        <f t="shared" si="4"/>
        <v>4598.5919999999996</v>
      </c>
    </row>
    <row r="62" spans="1:29" x14ac:dyDescent="0.35">
      <c r="A62" s="3" t="s">
        <v>75</v>
      </c>
      <c r="B62" s="4">
        <v>45361</v>
      </c>
      <c r="C62" s="4">
        <v>45391</v>
      </c>
      <c r="D62" s="5">
        <v>30</v>
      </c>
      <c r="E62" s="3" t="s">
        <v>649</v>
      </c>
      <c r="F62" s="3" t="s">
        <v>657</v>
      </c>
      <c r="G62" s="3" t="s">
        <v>679</v>
      </c>
      <c r="H62" s="3" t="s">
        <v>701</v>
      </c>
      <c r="I62" s="3" t="s">
        <v>711</v>
      </c>
      <c r="J62" s="3" t="s">
        <v>714</v>
      </c>
      <c r="K62" s="3" t="s">
        <v>727</v>
      </c>
      <c r="L62" s="3" t="s">
        <v>794</v>
      </c>
      <c r="M62" s="3">
        <v>1176.56</v>
      </c>
      <c r="N62" s="3">
        <v>1911.89</v>
      </c>
      <c r="O62" s="3">
        <v>0.11899999999999999</v>
      </c>
      <c r="P62" s="3">
        <v>20</v>
      </c>
      <c r="Q62" s="3">
        <v>33687.501800000005</v>
      </c>
      <c r="R62" s="3">
        <f t="shared" si="0"/>
        <v>23531.199999999997</v>
      </c>
      <c r="S62" s="3">
        <v>10156.301800000008</v>
      </c>
      <c r="T62" s="3">
        <f t="shared" si="1"/>
        <v>0.30148575160892477</v>
      </c>
      <c r="U62" s="3" t="str">
        <f t="shared" si="2"/>
        <v>Mar-2024</v>
      </c>
      <c r="AB62" s="3">
        <f t="shared" si="3"/>
        <v>23531.199999999997</v>
      </c>
      <c r="AC62" s="3">
        <f t="shared" si="4"/>
        <v>33687.501800000005</v>
      </c>
    </row>
    <row r="63" spans="1:29" x14ac:dyDescent="0.35">
      <c r="A63" s="3" t="s">
        <v>76</v>
      </c>
      <c r="B63" s="4">
        <v>45910</v>
      </c>
      <c r="C63" s="4">
        <v>45912</v>
      </c>
      <c r="D63" s="5">
        <v>2</v>
      </c>
      <c r="E63" s="3" t="s">
        <v>647</v>
      </c>
      <c r="F63" s="3" t="s">
        <v>652</v>
      </c>
      <c r="G63" s="3" t="s">
        <v>689</v>
      </c>
      <c r="H63" s="3" t="s">
        <v>704</v>
      </c>
      <c r="I63" s="3" t="s">
        <v>708</v>
      </c>
      <c r="J63" s="3" t="s">
        <v>719</v>
      </c>
      <c r="K63" s="3" t="s">
        <v>727</v>
      </c>
      <c r="L63" s="3" t="s">
        <v>795</v>
      </c>
      <c r="M63" s="3">
        <v>1470.15</v>
      </c>
      <c r="N63" s="3">
        <v>2593.7800000000002</v>
      </c>
      <c r="O63" s="3">
        <v>0.11</v>
      </c>
      <c r="P63" s="3">
        <v>12</v>
      </c>
      <c r="Q63" s="3">
        <v>27701.570400000001</v>
      </c>
      <c r="R63" s="3">
        <f t="shared" si="0"/>
        <v>17641.800000000003</v>
      </c>
      <c r="S63" s="3">
        <v>10059.770399999998</v>
      </c>
      <c r="T63" s="3">
        <f t="shared" si="1"/>
        <v>0.36314801849645306</v>
      </c>
      <c r="U63" s="3" t="str">
        <f t="shared" si="2"/>
        <v>Sep-2025</v>
      </c>
      <c r="AB63" s="3">
        <f t="shared" si="3"/>
        <v>17641.800000000003</v>
      </c>
      <c r="AC63" s="3">
        <f t="shared" si="4"/>
        <v>27701.570400000001</v>
      </c>
    </row>
    <row r="64" spans="1:29" x14ac:dyDescent="0.35">
      <c r="A64" s="3" t="s">
        <v>77</v>
      </c>
      <c r="B64" s="4">
        <v>45774</v>
      </c>
      <c r="C64" s="4">
        <v>45802</v>
      </c>
      <c r="D64" s="5">
        <v>28</v>
      </c>
      <c r="E64" s="3" t="s">
        <v>649</v>
      </c>
      <c r="F64" s="3" t="s">
        <v>657</v>
      </c>
      <c r="G64" s="3" t="s">
        <v>690</v>
      </c>
      <c r="H64" s="3" t="s">
        <v>705</v>
      </c>
      <c r="I64" s="3" t="s">
        <v>709</v>
      </c>
      <c r="J64" s="3" t="s">
        <v>714</v>
      </c>
      <c r="K64" s="3" t="s">
        <v>730</v>
      </c>
      <c r="L64" s="3" t="s">
        <v>796</v>
      </c>
      <c r="M64" s="3">
        <v>603.45000000000005</v>
      </c>
      <c r="N64" s="3">
        <v>1244.08</v>
      </c>
      <c r="O64" s="3">
        <v>0.2</v>
      </c>
      <c r="P64" s="3">
        <v>11</v>
      </c>
      <c r="Q64" s="3">
        <v>10947.904</v>
      </c>
      <c r="R64" s="3">
        <f t="shared" si="0"/>
        <v>6637.9500000000007</v>
      </c>
      <c r="S64" s="3">
        <v>4309.9539999999997</v>
      </c>
      <c r="T64" s="3">
        <f t="shared" si="1"/>
        <v>0.39367846119220623</v>
      </c>
      <c r="U64" s="3" t="str">
        <f t="shared" si="2"/>
        <v>Apr-2025</v>
      </c>
      <c r="AB64" s="3">
        <f t="shared" si="3"/>
        <v>6637.9500000000007</v>
      </c>
      <c r="AC64" s="3">
        <f t="shared" si="4"/>
        <v>10947.904</v>
      </c>
    </row>
    <row r="65" spans="1:29" x14ac:dyDescent="0.35">
      <c r="A65" s="3" t="s">
        <v>78</v>
      </c>
      <c r="B65" s="4">
        <v>45598</v>
      </c>
      <c r="C65" s="4">
        <v>45614</v>
      </c>
      <c r="D65" s="5">
        <v>16</v>
      </c>
      <c r="E65" s="3" t="s">
        <v>647</v>
      </c>
      <c r="F65" s="3" t="s">
        <v>654</v>
      </c>
      <c r="G65" s="3" t="s">
        <v>691</v>
      </c>
      <c r="H65" s="3" t="s">
        <v>705</v>
      </c>
      <c r="I65" s="3" t="s">
        <v>710</v>
      </c>
      <c r="J65" s="3" t="s">
        <v>719</v>
      </c>
      <c r="K65" s="3" t="s">
        <v>732</v>
      </c>
      <c r="L65" s="3" t="s">
        <v>797</v>
      </c>
      <c r="M65" s="3">
        <v>1233.58</v>
      </c>
      <c r="N65" s="3">
        <v>1912.51</v>
      </c>
      <c r="O65" s="3">
        <v>0.255</v>
      </c>
      <c r="P65" s="3">
        <v>51</v>
      </c>
      <c r="Q65" s="3">
        <v>72665.817450000002</v>
      </c>
      <c r="R65" s="3">
        <f t="shared" si="0"/>
        <v>62912.579999999994</v>
      </c>
      <c r="S65" s="3">
        <v>9753.2374500000078</v>
      </c>
      <c r="T65" s="3">
        <f t="shared" si="1"/>
        <v>0.134220432553601</v>
      </c>
      <c r="U65" s="3" t="str">
        <f t="shared" si="2"/>
        <v>Nov-2024</v>
      </c>
      <c r="AB65" s="3">
        <f t="shared" si="3"/>
        <v>62912.579999999994</v>
      </c>
      <c r="AC65" s="3">
        <f t="shared" si="4"/>
        <v>78030.407999999996</v>
      </c>
    </row>
    <row r="66" spans="1:29" x14ac:dyDescent="0.35">
      <c r="A66" s="3" t="s">
        <v>79</v>
      </c>
      <c r="B66" s="4">
        <v>44972</v>
      </c>
      <c r="C66" s="4">
        <v>44983</v>
      </c>
      <c r="D66" s="5">
        <v>11</v>
      </c>
      <c r="E66" s="3" t="s">
        <v>646</v>
      </c>
      <c r="F66" s="3" t="s">
        <v>661</v>
      </c>
      <c r="G66" s="3" t="s">
        <v>682</v>
      </c>
      <c r="H66" s="3" t="s">
        <v>703</v>
      </c>
      <c r="I66" s="3" t="s">
        <v>707</v>
      </c>
      <c r="J66" s="3" t="s">
        <v>723</v>
      </c>
      <c r="K66" s="3" t="s">
        <v>731</v>
      </c>
      <c r="L66" s="3" t="s">
        <v>798</v>
      </c>
      <c r="M66" s="3">
        <v>498.5</v>
      </c>
      <c r="N66" s="3">
        <v>755.87</v>
      </c>
      <c r="O66" s="3">
        <v>0.13</v>
      </c>
      <c r="P66" s="3">
        <v>40</v>
      </c>
      <c r="Q66" s="3">
        <v>26304.275999999998</v>
      </c>
      <c r="R66" s="3">
        <f t="shared" si="0"/>
        <v>19940</v>
      </c>
      <c r="S66" s="3">
        <v>6364.275999999998</v>
      </c>
      <c r="T66" s="3">
        <f t="shared" si="1"/>
        <v>0.24194834330357537</v>
      </c>
      <c r="U66" s="3" t="str">
        <f t="shared" si="2"/>
        <v>Feb-2023</v>
      </c>
      <c r="AB66" s="3">
        <f t="shared" si="3"/>
        <v>19940</v>
      </c>
      <c r="AC66" s="3">
        <f t="shared" si="4"/>
        <v>26304.275999999998</v>
      </c>
    </row>
    <row r="67" spans="1:29" x14ac:dyDescent="0.35">
      <c r="A67" s="3" t="s">
        <v>80</v>
      </c>
      <c r="B67" s="4">
        <v>45263</v>
      </c>
      <c r="C67" s="4">
        <v>45286</v>
      </c>
      <c r="D67" s="5">
        <v>23</v>
      </c>
      <c r="E67" s="3" t="s">
        <v>648</v>
      </c>
      <c r="F67" s="3" t="s">
        <v>655</v>
      </c>
      <c r="G67" s="3" t="s">
        <v>692</v>
      </c>
      <c r="H67" s="3" t="s">
        <v>702</v>
      </c>
      <c r="I67" s="3" t="s">
        <v>707</v>
      </c>
      <c r="J67" s="3" t="s">
        <v>719</v>
      </c>
      <c r="K67" s="3" t="s">
        <v>730</v>
      </c>
      <c r="L67" s="3" t="s">
        <v>799</v>
      </c>
      <c r="M67" s="3">
        <v>1303.1099999999999</v>
      </c>
      <c r="N67" s="3">
        <v>1145.67</v>
      </c>
      <c r="O67" s="3">
        <v>0.184</v>
      </c>
      <c r="P67" s="3">
        <v>13</v>
      </c>
      <c r="Q67" s="3">
        <v>12153.267360000002</v>
      </c>
      <c r="R67" s="3">
        <f t="shared" ref="R67:R130" si="5">M67*P67</f>
        <v>16940.43</v>
      </c>
      <c r="S67" s="3">
        <v>4787.1626399999986</v>
      </c>
      <c r="T67" s="3">
        <f t="shared" ref="T67:T130" si="6">IF(Q67=0,0,S67/Q67)</f>
        <v>0.39389922875851208</v>
      </c>
      <c r="U67" s="3" t="str">
        <f t="shared" ref="U67:U130" si="7">TEXT(B67, "mmm-yyyy")</f>
        <v>Dec-2023</v>
      </c>
      <c r="AB67" s="3">
        <f t="shared" ref="AB67:AB130" si="8">M67 * P67 * (1+ $AF$2)</f>
        <v>16940.43</v>
      </c>
      <c r="AC67" s="3">
        <f t="shared" ref="AC67:AC130" si="9">N67 * P67 * (1- MIN(O67, $AF$3))</f>
        <v>12153.267360000002</v>
      </c>
    </row>
    <row r="68" spans="1:29" x14ac:dyDescent="0.35">
      <c r="A68" s="3" t="s">
        <v>81</v>
      </c>
      <c r="B68" s="4">
        <v>45004</v>
      </c>
      <c r="C68" s="4">
        <v>45025</v>
      </c>
      <c r="D68" s="5">
        <v>21</v>
      </c>
      <c r="E68" s="3" t="s">
        <v>649</v>
      </c>
      <c r="F68" s="3" t="s">
        <v>658</v>
      </c>
      <c r="G68" s="3" t="s">
        <v>693</v>
      </c>
      <c r="H68" s="3" t="s">
        <v>704</v>
      </c>
      <c r="I68" s="3" t="s">
        <v>707</v>
      </c>
      <c r="J68" s="3" t="s">
        <v>716</v>
      </c>
      <c r="K68" s="3" t="s">
        <v>733</v>
      </c>
      <c r="L68" s="3" t="s">
        <v>800</v>
      </c>
      <c r="M68" s="3">
        <v>1082.17</v>
      </c>
      <c r="N68" s="3">
        <v>1234.0999999999999</v>
      </c>
      <c r="O68" s="3">
        <v>0.189</v>
      </c>
      <c r="P68" s="3">
        <v>16</v>
      </c>
      <c r="Q68" s="3">
        <v>16013.681599999998</v>
      </c>
      <c r="R68" s="3">
        <f t="shared" si="5"/>
        <v>17314.72</v>
      </c>
      <c r="S68" s="3">
        <v>1301.0384000000031</v>
      </c>
      <c r="T68" s="3">
        <f t="shared" si="6"/>
        <v>8.124542703534228E-2</v>
      </c>
      <c r="U68" s="3" t="str">
        <f t="shared" si="7"/>
        <v>Mar-2023</v>
      </c>
      <c r="AB68" s="3">
        <f t="shared" si="8"/>
        <v>17314.72</v>
      </c>
      <c r="AC68" s="3">
        <f t="shared" si="9"/>
        <v>16013.681599999998</v>
      </c>
    </row>
    <row r="69" spans="1:29" x14ac:dyDescent="0.35">
      <c r="A69" s="3" t="s">
        <v>82</v>
      </c>
      <c r="B69" s="4">
        <v>45434</v>
      </c>
      <c r="C69" s="4">
        <v>45449</v>
      </c>
      <c r="D69" s="5">
        <v>15</v>
      </c>
      <c r="E69" s="3" t="s">
        <v>647</v>
      </c>
      <c r="F69" s="3" t="s">
        <v>652</v>
      </c>
      <c r="G69" s="3" t="s">
        <v>694</v>
      </c>
      <c r="H69" s="3" t="s">
        <v>701</v>
      </c>
      <c r="I69" s="3" t="s">
        <v>710</v>
      </c>
      <c r="J69" s="3" t="s">
        <v>712</v>
      </c>
      <c r="K69" s="3" t="s">
        <v>732</v>
      </c>
      <c r="L69" s="3" t="s">
        <v>801</v>
      </c>
      <c r="M69" s="3">
        <v>673.88</v>
      </c>
      <c r="N69" s="3">
        <v>1228.01</v>
      </c>
      <c r="O69" s="3">
        <v>0.105</v>
      </c>
      <c r="P69" s="3">
        <v>13</v>
      </c>
      <c r="Q69" s="3">
        <v>14287.896349999999</v>
      </c>
      <c r="R69" s="3">
        <f t="shared" si="5"/>
        <v>8760.44</v>
      </c>
      <c r="S69" s="3">
        <v>5527.4563499999986</v>
      </c>
      <c r="T69" s="3">
        <f t="shared" si="6"/>
        <v>0.38686285332689996</v>
      </c>
      <c r="U69" s="3" t="str">
        <f t="shared" si="7"/>
        <v>May-2024</v>
      </c>
      <c r="AB69" s="3">
        <f t="shared" si="8"/>
        <v>8760.44</v>
      </c>
      <c r="AC69" s="3">
        <f t="shared" si="9"/>
        <v>14287.896349999999</v>
      </c>
    </row>
    <row r="70" spans="1:29" x14ac:dyDescent="0.35">
      <c r="A70" s="3" t="s">
        <v>83</v>
      </c>
      <c r="B70" s="4">
        <v>45157</v>
      </c>
      <c r="C70" s="4">
        <v>45176</v>
      </c>
      <c r="D70" s="5">
        <v>19</v>
      </c>
      <c r="E70" s="3" t="s">
        <v>646</v>
      </c>
      <c r="F70" s="3" t="s">
        <v>661</v>
      </c>
      <c r="G70" s="3" t="s">
        <v>682</v>
      </c>
      <c r="H70" s="3" t="s">
        <v>706</v>
      </c>
      <c r="I70" s="3" t="s">
        <v>707</v>
      </c>
      <c r="J70" s="3" t="s">
        <v>726</v>
      </c>
      <c r="K70" s="3" t="s">
        <v>732</v>
      </c>
      <c r="L70" s="3" t="s">
        <v>802</v>
      </c>
      <c r="M70" s="3">
        <v>494.61</v>
      </c>
      <c r="N70" s="3">
        <v>605.23</v>
      </c>
      <c r="O70" s="3">
        <v>0.20399999999999999</v>
      </c>
      <c r="P70" s="3">
        <v>18</v>
      </c>
      <c r="Q70" s="3">
        <v>8671.7354400000004</v>
      </c>
      <c r="R70" s="3">
        <f t="shared" si="5"/>
        <v>8902.98</v>
      </c>
      <c r="S70" s="3">
        <v>231.24455999999918</v>
      </c>
      <c r="T70" s="3">
        <f t="shared" si="6"/>
        <v>2.6666468505639647E-2</v>
      </c>
      <c r="U70" s="3" t="str">
        <f t="shared" si="7"/>
        <v>Aug-2023</v>
      </c>
      <c r="AB70" s="3">
        <f t="shared" si="8"/>
        <v>8902.98</v>
      </c>
      <c r="AC70" s="3">
        <f t="shared" si="9"/>
        <v>8715.3119999999999</v>
      </c>
    </row>
    <row r="71" spans="1:29" x14ac:dyDescent="0.35">
      <c r="A71" s="3" t="s">
        <v>84</v>
      </c>
      <c r="B71" s="4">
        <v>45037</v>
      </c>
      <c r="C71" s="4">
        <v>45056</v>
      </c>
      <c r="D71" s="5">
        <v>19</v>
      </c>
      <c r="E71" s="3" t="s">
        <v>647</v>
      </c>
      <c r="F71" s="3" t="s">
        <v>659</v>
      </c>
      <c r="G71" s="3" t="s">
        <v>685</v>
      </c>
      <c r="H71" s="3" t="s">
        <v>701</v>
      </c>
      <c r="I71" s="3" t="s">
        <v>707</v>
      </c>
      <c r="J71" s="3" t="s">
        <v>720</v>
      </c>
      <c r="K71" s="3" t="s">
        <v>727</v>
      </c>
      <c r="L71" s="3" t="s">
        <v>803</v>
      </c>
      <c r="M71" s="3">
        <v>882.33</v>
      </c>
      <c r="N71" s="3">
        <v>1880.15</v>
      </c>
      <c r="O71" s="3">
        <v>0.05</v>
      </c>
      <c r="P71" s="3">
        <v>5</v>
      </c>
      <c r="Q71" s="3">
        <v>8930.7124999999996</v>
      </c>
      <c r="R71" s="3">
        <f t="shared" si="5"/>
        <v>4411.6500000000005</v>
      </c>
      <c r="S71" s="3">
        <v>4519.0624999999991</v>
      </c>
      <c r="T71" s="3">
        <f t="shared" si="6"/>
        <v>0.50601365792482955</v>
      </c>
      <c r="U71" s="3" t="str">
        <f t="shared" si="7"/>
        <v>Apr-2023</v>
      </c>
      <c r="AB71" s="3">
        <f t="shared" si="8"/>
        <v>4411.6500000000005</v>
      </c>
      <c r="AC71" s="3">
        <f t="shared" si="9"/>
        <v>8930.7124999999996</v>
      </c>
    </row>
    <row r="72" spans="1:29" x14ac:dyDescent="0.35">
      <c r="A72" s="3" t="s">
        <v>85</v>
      </c>
      <c r="B72" s="4">
        <v>45369</v>
      </c>
      <c r="C72" s="4">
        <v>45372</v>
      </c>
      <c r="D72" s="5">
        <v>3</v>
      </c>
      <c r="E72" s="3" t="s">
        <v>649</v>
      </c>
      <c r="F72" s="3" t="s">
        <v>656</v>
      </c>
      <c r="G72" s="3" t="s">
        <v>684</v>
      </c>
      <c r="H72" s="3" t="s">
        <v>705</v>
      </c>
      <c r="I72" s="3" t="s">
        <v>708</v>
      </c>
      <c r="J72" s="3" t="s">
        <v>724</v>
      </c>
      <c r="K72" s="3" t="s">
        <v>733</v>
      </c>
      <c r="L72" s="3" t="s">
        <v>804</v>
      </c>
      <c r="M72" s="3">
        <v>910.63</v>
      </c>
      <c r="N72" s="3">
        <v>1269.4000000000001</v>
      </c>
      <c r="O72" s="3">
        <v>6.8000000000000005E-2</v>
      </c>
      <c r="P72" s="3">
        <v>9</v>
      </c>
      <c r="Q72" s="3">
        <v>10647.727199999999</v>
      </c>
      <c r="R72" s="3">
        <f t="shared" si="5"/>
        <v>8195.67</v>
      </c>
      <c r="S72" s="3">
        <v>2452.0571999999993</v>
      </c>
      <c r="T72" s="3">
        <f t="shared" si="6"/>
        <v>0.23028925834989455</v>
      </c>
      <c r="U72" s="3" t="str">
        <f t="shared" si="7"/>
        <v>Mar-2024</v>
      </c>
      <c r="AB72" s="3">
        <f t="shared" si="8"/>
        <v>8195.67</v>
      </c>
      <c r="AC72" s="3">
        <f t="shared" si="9"/>
        <v>10647.727199999999</v>
      </c>
    </row>
    <row r="73" spans="1:29" x14ac:dyDescent="0.35">
      <c r="A73" s="3" t="s">
        <v>86</v>
      </c>
      <c r="B73" s="4">
        <v>45756</v>
      </c>
      <c r="C73" s="4">
        <v>45783</v>
      </c>
      <c r="D73" s="5">
        <v>27</v>
      </c>
      <c r="E73" s="3" t="s">
        <v>648</v>
      </c>
      <c r="F73" s="3" t="s">
        <v>655</v>
      </c>
      <c r="G73" s="3" t="s">
        <v>672</v>
      </c>
      <c r="H73" s="3" t="s">
        <v>706</v>
      </c>
      <c r="I73" s="3" t="s">
        <v>709</v>
      </c>
      <c r="J73" s="3" t="s">
        <v>721</v>
      </c>
      <c r="K73" s="3" t="s">
        <v>731</v>
      </c>
      <c r="L73" s="3" t="s">
        <v>805</v>
      </c>
      <c r="M73" s="3">
        <v>264.19</v>
      </c>
      <c r="N73" s="3">
        <v>620.92999999999995</v>
      </c>
      <c r="O73" s="3">
        <v>0.14199999999999999</v>
      </c>
      <c r="P73" s="3">
        <v>12</v>
      </c>
      <c r="Q73" s="3">
        <v>6393.0952799999995</v>
      </c>
      <c r="R73" s="3">
        <f t="shared" si="5"/>
        <v>3170.2799999999997</v>
      </c>
      <c r="S73" s="3">
        <v>3222.8152799999998</v>
      </c>
      <c r="T73" s="3">
        <f t="shared" si="6"/>
        <v>0.50410875152794532</v>
      </c>
      <c r="U73" s="3" t="str">
        <f t="shared" si="7"/>
        <v>Apr-2025</v>
      </c>
      <c r="AB73" s="3">
        <f t="shared" si="8"/>
        <v>3170.2799999999997</v>
      </c>
      <c r="AC73" s="3">
        <f t="shared" si="9"/>
        <v>6393.0952799999995</v>
      </c>
    </row>
    <row r="74" spans="1:29" x14ac:dyDescent="0.35">
      <c r="A74" s="3" t="s">
        <v>87</v>
      </c>
      <c r="B74" s="4">
        <v>45394</v>
      </c>
      <c r="C74" s="4">
        <v>45419</v>
      </c>
      <c r="D74" s="5">
        <v>25</v>
      </c>
      <c r="E74" s="3" t="s">
        <v>646</v>
      </c>
      <c r="F74" s="3" t="s">
        <v>661</v>
      </c>
      <c r="G74" s="3" t="s">
        <v>682</v>
      </c>
      <c r="H74" s="3" t="s">
        <v>702</v>
      </c>
      <c r="I74" s="3" t="s">
        <v>710</v>
      </c>
      <c r="J74" s="3" t="s">
        <v>720</v>
      </c>
      <c r="K74" s="3" t="s">
        <v>731</v>
      </c>
      <c r="L74" s="3" t="s">
        <v>806</v>
      </c>
      <c r="M74" s="3">
        <v>1376.51</v>
      </c>
      <c r="N74" s="3">
        <v>1455.91</v>
      </c>
      <c r="O74" s="3">
        <v>0.185</v>
      </c>
      <c r="P74" s="3">
        <v>17</v>
      </c>
      <c r="Q74" s="3">
        <v>20171.63305</v>
      </c>
      <c r="R74" s="3">
        <f t="shared" si="5"/>
        <v>23400.67</v>
      </c>
      <c r="S74" s="3">
        <v>3229.0369499999979</v>
      </c>
      <c r="T74" s="3">
        <f t="shared" si="6"/>
        <v>0.1600781127634085</v>
      </c>
      <c r="U74" s="3" t="str">
        <f t="shared" si="7"/>
        <v>Apr-2024</v>
      </c>
      <c r="AB74" s="3">
        <f t="shared" si="8"/>
        <v>23400.67</v>
      </c>
      <c r="AC74" s="3">
        <f t="shared" si="9"/>
        <v>20171.63305</v>
      </c>
    </row>
    <row r="75" spans="1:29" x14ac:dyDescent="0.35">
      <c r="A75" s="3" t="s">
        <v>88</v>
      </c>
      <c r="B75" s="4">
        <v>45641</v>
      </c>
      <c r="C75" s="4">
        <v>45646</v>
      </c>
      <c r="D75" s="5">
        <v>5</v>
      </c>
      <c r="E75" s="3" t="s">
        <v>647</v>
      </c>
      <c r="F75" s="3" t="s">
        <v>659</v>
      </c>
      <c r="G75" s="3" t="s">
        <v>676</v>
      </c>
      <c r="H75" s="3" t="s">
        <v>705</v>
      </c>
      <c r="I75" s="3" t="s">
        <v>711</v>
      </c>
      <c r="J75" s="3" t="s">
        <v>713</v>
      </c>
      <c r="K75" s="3" t="s">
        <v>729</v>
      </c>
      <c r="L75" s="3" t="s">
        <v>807</v>
      </c>
      <c r="M75" s="3">
        <v>717.55</v>
      </c>
      <c r="N75" s="3">
        <v>546.42999999999995</v>
      </c>
      <c r="O75" s="3">
        <v>4.7E-2</v>
      </c>
      <c r="P75" s="3">
        <v>18</v>
      </c>
      <c r="Q75" s="3">
        <v>9373.460219999999</v>
      </c>
      <c r="R75" s="3">
        <f t="shared" si="5"/>
        <v>12915.9</v>
      </c>
      <c r="S75" s="3">
        <v>3542.4397800000006</v>
      </c>
      <c r="T75" s="3">
        <f t="shared" si="6"/>
        <v>0.37792231437026369</v>
      </c>
      <c r="U75" s="3" t="str">
        <f t="shared" si="7"/>
        <v>Dec-2024</v>
      </c>
      <c r="AB75" s="3">
        <f t="shared" si="8"/>
        <v>12915.9</v>
      </c>
      <c r="AC75" s="3">
        <f t="shared" si="9"/>
        <v>9373.460219999999</v>
      </c>
    </row>
    <row r="76" spans="1:29" x14ac:dyDescent="0.35">
      <c r="A76" s="3" t="s">
        <v>89</v>
      </c>
      <c r="B76" s="4">
        <v>45066</v>
      </c>
      <c r="C76" s="4">
        <v>45064</v>
      </c>
      <c r="D76" s="5">
        <v>2</v>
      </c>
      <c r="E76" s="3" t="s">
        <v>646</v>
      </c>
      <c r="F76" s="3" t="s">
        <v>661</v>
      </c>
      <c r="G76" s="3" t="s">
        <v>687</v>
      </c>
      <c r="H76" s="3" t="s">
        <v>701</v>
      </c>
      <c r="I76" s="3" t="s">
        <v>710</v>
      </c>
      <c r="J76" s="3" t="s">
        <v>720</v>
      </c>
      <c r="K76" s="3" t="s">
        <v>727</v>
      </c>
      <c r="L76" s="3" t="s">
        <v>808</v>
      </c>
      <c r="M76" s="3">
        <v>917.88</v>
      </c>
      <c r="N76" s="3">
        <v>1347.92</v>
      </c>
      <c r="O76" s="3">
        <v>0.34300000000000003</v>
      </c>
      <c r="P76" s="3">
        <v>5</v>
      </c>
      <c r="Q76" s="3">
        <v>4427.9172000000008</v>
      </c>
      <c r="R76" s="3">
        <f t="shared" si="5"/>
        <v>4589.3999999999996</v>
      </c>
      <c r="S76" s="3">
        <v>161.48279999999886</v>
      </c>
      <c r="T76" s="3">
        <f t="shared" si="6"/>
        <v>3.6469245630880096E-2</v>
      </c>
      <c r="U76" s="3" t="str">
        <f t="shared" si="7"/>
        <v>May-2023</v>
      </c>
      <c r="AB76" s="3">
        <f t="shared" si="8"/>
        <v>4589.3999999999996</v>
      </c>
      <c r="AC76" s="3">
        <f t="shared" si="9"/>
        <v>5391.68</v>
      </c>
    </row>
    <row r="77" spans="1:29" x14ac:dyDescent="0.35">
      <c r="A77" s="3" t="s">
        <v>90</v>
      </c>
      <c r="B77" s="4">
        <v>45187</v>
      </c>
      <c r="C77" s="4">
        <v>45207</v>
      </c>
      <c r="D77" s="5">
        <v>20</v>
      </c>
      <c r="E77" s="3" t="s">
        <v>647</v>
      </c>
      <c r="F77" s="3" t="s">
        <v>654</v>
      </c>
      <c r="G77" s="3" t="s">
        <v>680</v>
      </c>
      <c r="H77" s="3" t="s">
        <v>705</v>
      </c>
      <c r="I77" s="3" t="s">
        <v>711</v>
      </c>
      <c r="J77" s="3" t="s">
        <v>717</v>
      </c>
      <c r="K77" s="3" t="s">
        <v>727</v>
      </c>
      <c r="L77" s="3" t="s">
        <v>809</v>
      </c>
      <c r="M77" s="3">
        <v>825.64</v>
      </c>
      <c r="N77" s="3">
        <v>1108.43</v>
      </c>
      <c r="O77" s="3">
        <v>0.114</v>
      </c>
      <c r="P77" s="3">
        <v>7</v>
      </c>
      <c r="Q77" s="3">
        <v>6874.4828600000001</v>
      </c>
      <c r="R77" s="3">
        <f t="shared" si="5"/>
        <v>5779.48</v>
      </c>
      <c r="S77" s="3">
        <v>1095.0028600000005</v>
      </c>
      <c r="T77" s="3">
        <f t="shared" si="6"/>
        <v>0.15928512475773349</v>
      </c>
      <c r="U77" s="3" t="str">
        <f t="shared" si="7"/>
        <v>Sep-2023</v>
      </c>
      <c r="AB77" s="3">
        <f t="shared" si="8"/>
        <v>5779.48</v>
      </c>
      <c r="AC77" s="3">
        <f t="shared" si="9"/>
        <v>6874.4828600000001</v>
      </c>
    </row>
    <row r="78" spans="1:29" x14ac:dyDescent="0.35">
      <c r="A78" s="3" t="s">
        <v>91</v>
      </c>
      <c r="B78" s="4">
        <v>45532</v>
      </c>
      <c r="C78" s="4">
        <v>45560</v>
      </c>
      <c r="D78" s="5">
        <v>28</v>
      </c>
      <c r="E78" s="3" t="s">
        <v>648</v>
      </c>
      <c r="F78" s="3" t="s">
        <v>655</v>
      </c>
      <c r="G78" s="3" t="s">
        <v>692</v>
      </c>
      <c r="H78" s="3" t="s">
        <v>703</v>
      </c>
      <c r="I78" s="3" t="s">
        <v>708</v>
      </c>
      <c r="J78" s="3" t="s">
        <v>1422</v>
      </c>
      <c r="K78" s="3" t="s">
        <v>733</v>
      </c>
      <c r="L78" s="3" t="s">
        <v>810</v>
      </c>
      <c r="M78" s="3">
        <v>1394.65</v>
      </c>
      <c r="N78" s="3">
        <v>3144.1</v>
      </c>
      <c r="O78" s="3">
        <v>0.13400000000000001</v>
      </c>
      <c r="P78" s="3">
        <v>13</v>
      </c>
      <c r="Q78" s="3">
        <v>35396.277799999996</v>
      </c>
      <c r="R78" s="3">
        <f t="shared" si="5"/>
        <v>18130.45</v>
      </c>
      <c r="S78" s="3">
        <v>17265.827799999995</v>
      </c>
      <c r="T78" s="3">
        <f t="shared" si="6"/>
        <v>0.4877865378263021</v>
      </c>
      <c r="U78" s="3" t="str">
        <f t="shared" si="7"/>
        <v>Aug-2024</v>
      </c>
      <c r="AB78" s="3">
        <f t="shared" si="8"/>
        <v>18130.45</v>
      </c>
      <c r="AC78" s="3">
        <f t="shared" si="9"/>
        <v>35396.277799999996</v>
      </c>
    </row>
    <row r="79" spans="1:29" x14ac:dyDescent="0.35">
      <c r="A79" s="3" t="s">
        <v>92</v>
      </c>
      <c r="B79" s="4">
        <v>45473</v>
      </c>
      <c r="C79" s="4">
        <v>45471</v>
      </c>
      <c r="D79" s="5">
        <v>2</v>
      </c>
      <c r="E79" s="3" t="s">
        <v>648</v>
      </c>
      <c r="F79" s="3" t="s">
        <v>655</v>
      </c>
      <c r="G79" s="3" t="s">
        <v>692</v>
      </c>
      <c r="H79" s="3" t="s">
        <v>705</v>
      </c>
      <c r="I79" s="3" t="s">
        <v>711</v>
      </c>
      <c r="J79" s="3" t="s">
        <v>716</v>
      </c>
      <c r="K79" s="3" t="s">
        <v>733</v>
      </c>
      <c r="L79" s="3" t="s">
        <v>811</v>
      </c>
      <c r="M79" s="3">
        <v>1112.98</v>
      </c>
      <c r="N79" s="3">
        <v>2095.73</v>
      </c>
      <c r="O79" s="3">
        <v>7.1999999999999995E-2</v>
      </c>
      <c r="P79" s="3">
        <v>17</v>
      </c>
      <c r="Q79" s="3">
        <v>33062.236480000007</v>
      </c>
      <c r="R79" s="3">
        <f t="shared" si="5"/>
        <v>18920.66</v>
      </c>
      <c r="S79" s="3">
        <v>14141.576480000007</v>
      </c>
      <c r="T79" s="3">
        <f t="shared" si="6"/>
        <v>0.42772594916724777</v>
      </c>
      <c r="U79" s="3" t="str">
        <f t="shared" si="7"/>
        <v>Jun-2024</v>
      </c>
      <c r="AB79" s="3">
        <f t="shared" si="8"/>
        <v>18920.66</v>
      </c>
      <c r="AC79" s="3">
        <f t="shared" si="9"/>
        <v>33062.236480000007</v>
      </c>
    </row>
    <row r="80" spans="1:29" x14ac:dyDescent="0.35">
      <c r="A80" s="3" t="s">
        <v>93</v>
      </c>
      <c r="B80" s="4">
        <v>45091</v>
      </c>
      <c r="C80" s="4">
        <v>45093</v>
      </c>
      <c r="D80" s="5">
        <v>2</v>
      </c>
      <c r="E80" s="3" t="s">
        <v>649</v>
      </c>
      <c r="F80" s="3" t="s">
        <v>658</v>
      </c>
      <c r="G80" s="3" t="s">
        <v>693</v>
      </c>
      <c r="H80" s="3" t="s">
        <v>703</v>
      </c>
      <c r="I80" s="3" t="s">
        <v>711</v>
      </c>
      <c r="J80" s="3" t="s">
        <v>723</v>
      </c>
      <c r="K80" s="3" t="s">
        <v>727</v>
      </c>
      <c r="L80" s="3" t="s">
        <v>812</v>
      </c>
      <c r="M80" s="3">
        <v>357.36</v>
      </c>
      <c r="N80" s="3">
        <v>703.62</v>
      </c>
      <c r="O80" s="3">
        <v>0.25700000000000001</v>
      </c>
      <c r="P80" s="3">
        <v>20</v>
      </c>
      <c r="Q80" s="3">
        <v>10455.7932</v>
      </c>
      <c r="R80" s="3">
        <f t="shared" si="5"/>
        <v>7147.2000000000007</v>
      </c>
      <c r="S80" s="3">
        <v>3308.5931999999993</v>
      </c>
      <c r="T80" s="3">
        <f t="shared" si="6"/>
        <v>0.31643636563125593</v>
      </c>
      <c r="U80" s="3" t="str">
        <f t="shared" si="7"/>
        <v>Jun-2023</v>
      </c>
      <c r="AB80" s="3">
        <f t="shared" si="8"/>
        <v>7147.2000000000007</v>
      </c>
      <c r="AC80" s="3">
        <f t="shared" si="9"/>
        <v>11257.92</v>
      </c>
    </row>
    <row r="81" spans="1:29" x14ac:dyDescent="0.35">
      <c r="A81" s="3" t="s">
        <v>94</v>
      </c>
      <c r="B81" s="4">
        <v>45617</v>
      </c>
      <c r="C81" s="4">
        <v>45647</v>
      </c>
      <c r="D81" s="5">
        <v>30</v>
      </c>
      <c r="E81" s="3" t="s">
        <v>649</v>
      </c>
      <c r="F81" s="3" t="s">
        <v>657</v>
      </c>
      <c r="G81" s="3" t="s">
        <v>673</v>
      </c>
      <c r="H81" s="3" t="s">
        <v>705</v>
      </c>
      <c r="I81" s="3" t="s">
        <v>711</v>
      </c>
      <c r="J81" s="3" t="s">
        <v>714</v>
      </c>
      <c r="K81" s="3" t="s">
        <v>732</v>
      </c>
      <c r="L81" s="3" t="s">
        <v>813</v>
      </c>
      <c r="M81" s="3">
        <v>1122.68</v>
      </c>
      <c r="N81" s="3">
        <v>1997.19</v>
      </c>
      <c r="O81" s="3">
        <v>0.186</v>
      </c>
      <c r="P81" s="3">
        <v>3</v>
      </c>
      <c r="Q81" s="3">
        <v>4877.1379800000004</v>
      </c>
      <c r="R81" s="3">
        <f t="shared" si="5"/>
        <v>3368.04</v>
      </c>
      <c r="S81" s="3">
        <v>1509.0979800000005</v>
      </c>
      <c r="T81" s="3">
        <f t="shared" si="6"/>
        <v>0.30942285951073306</v>
      </c>
      <c r="U81" s="3" t="str">
        <f t="shared" si="7"/>
        <v>Nov-2024</v>
      </c>
      <c r="AB81" s="3">
        <f t="shared" si="8"/>
        <v>3368.04</v>
      </c>
      <c r="AC81" s="3">
        <f t="shared" si="9"/>
        <v>4877.1379800000004</v>
      </c>
    </row>
    <row r="82" spans="1:29" x14ac:dyDescent="0.35">
      <c r="A82" s="3" t="s">
        <v>95</v>
      </c>
      <c r="B82" s="4">
        <v>44965</v>
      </c>
      <c r="C82" s="4">
        <v>44968</v>
      </c>
      <c r="D82" s="5">
        <v>3</v>
      </c>
      <c r="E82" s="3" t="s">
        <v>646</v>
      </c>
      <c r="F82" s="3" t="s">
        <v>661</v>
      </c>
      <c r="G82" s="3" t="s">
        <v>695</v>
      </c>
      <c r="H82" s="3" t="s">
        <v>701</v>
      </c>
      <c r="I82" s="3" t="s">
        <v>711</v>
      </c>
      <c r="J82" s="3" t="s">
        <v>724</v>
      </c>
      <c r="K82" s="3" t="s">
        <v>729</v>
      </c>
      <c r="L82" s="3" t="s">
        <v>814</v>
      </c>
      <c r="M82" s="3">
        <v>1410.05</v>
      </c>
      <c r="N82" s="3">
        <v>2763.95</v>
      </c>
      <c r="O82" s="3">
        <v>0.161</v>
      </c>
      <c r="P82" s="3">
        <v>26</v>
      </c>
      <c r="Q82" s="3">
        <v>60292.805299999993</v>
      </c>
      <c r="R82" s="3">
        <f t="shared" si="5"/>
        <v>36661.299999999996</v>
      </c>
      <c r="S82" s="3">
        <v>23631.505299999997</v>
      </c>
      <c r="T82" s="3">
        <f t="shared" si="6"/>
        <v>0.39194569206750779</v>
      </c>
      <c r="U82" s="3" t="str">
        <f t="shared" si="7"/>
        <v>Feb-2023</v>
      </c>
      <c r="AB82" s="3">
        <f t="shared" si="8"/>
        <v>36661.299999999996</v>
      </c>
      <c r="AC82" s="3">
        <f t="shared" si="9"/>
        <v>60292.805299999993</v>
      </c>
    </row>
    <row r="83" spans="1:29" x14ac:dyDescent="0.35">
      <c r="A83" s="3" t="s">
        <v>96</v>
      </c>
      <c r="B83" s="4">
        <v>45157</v>
      </c>
      <c r="C83" s="4">
        <v>45181</v>
      </c>
      <c r="D83" s="5">
        <v>24</v>
      </c>
      <c r="E83" s="3" t="s">
        <v>648</v>
      </c>
      <c r="F83" s="3" t="s">
        <v>653</v>
      </c>
      <c r="G83" s="3" t="s">
        <v>688</v>
      </c>
      <c r="H83" s="3" t="s">
        <v>706</v>
      </c>
      <c r="I83" s="3" t="s">
        <v>707</v>
      </c>
      <c r="J83" s="3" t="s">
        <v>714</v>
      </c>
      <c r="K83" s="3" t="s">
        <v>728</v>
      </c>
      <c r="L83" s="3" t="s">
        <v>815</v>
      </c>
      <c r="M83" s="3">
        <v>1183.95</v>
      </c>
      <c r="N83" s="3">
        <v>1503.53</v>
      </c>
      <c r="O83" s="3">
        <v>0.24099999999999999</v>
      </c>
      <c r="P83" s="3">
        <v>16</v>
      </c>
      <c r="Q83" s="3">
        <v>18258.868320000001</v>
      </c>
      <c r="R83" s="3">
        <f t="shared" si="5"/>
        <v>18943.2</v>
      </c>
      <c r="S83" s="3">
        <v>684.33167999999932</v>
      </c>
      <c r="T83" s="3">
        <f t="shared" si="6"/>
        <v>3.7479413729623705E-2</v>
      </c>
      <c r="U83" s="3" t="str">
        <f t="shared" si="7"/>
        <v>Aug-2023</v>
      </c>
      <c r="AB83" s="3">
        <f t="shared" si="8"/>
        <v>18943.2</v>
      </c>
      <c r="AC83" s="3">
        <f t="shared" si="9"/>
        <v>19245.184000000001</v>
      </c>
    </row>
    <row r="84" spans="1:29" x14ac:dyDescent="0.35">
      <c r="A84" s="3" t="s">
        <v>97</v>
      </c>
      <c r="B84" s="4">
        <v>45791</v>
      </c>
      <c r="C84" s="4">
        <v>45801</v>
      </c>
      <c r="D84" s="5">
        <v>10</v>
      </c>
      <c r="E84" s="3" t="s">
        <v>649</v>
      </c>
      <c r="F84" s="3" t="s">
        <v>657</v>
      </c>
      <c r="G84" s="3" t="s">
        <v>690</v>
      </c>
      <c r="H84" s="3" t="s">
        <v>705</v>
      </c>
      <c r="I84" s="3" t="s">
        <v>709</v>
      </c>
      <c r="J84" s="3" t="s">
        <v>723</v>
      </c>
      <c r="K84" s="3" t="s">
        <v>727</v>
      </c>
      <c r="L84" s="3" t="s">
        <v>816</v>
      </c>
      <c r="M84" s="3">
        <v>170.39</v>
      </c>
      <c r="N84" s="3">
        <v>388.04</v>
      </c>
      <c r="O84" s="3">
        <v>8.4000000000000005E-2</v>
      </c>
      <c r="P84" s="3">
        <v>15</v>
      </c>
      <c r="Q84" s="3">
        <v>5331.6696000000002</v>
      </c>
      <c r="R84" s="3">
        <f t="shared" si="5"/>
        <v>2555.85</v>
      </c>
      <c r="S84" s="3">
        <v>2775.8196000000003</v>
      </c>
      <c r="T84" s="3">
        <f t="shared" si="6"/>
        <v>0.52062858508711796</v>
      </c>
      <c r="U84" s="3" t="str">
        <f t="shared" si="7"/>
        <v>May-2025</v>
      </c>
      <c r="AB84" s="3">
        <f t="shared" si="8"/>
        <v>2555.85</v>
      </c>
      <c r="AC84" s="3">
        <f t="shared" si="9"/>
        <v>5331.6696000000002</v>
      </c>
    </row>
    <row r="85" spans="1:29" x14ac:dyDescent="0.35">
      <c r="A85" s="3" t="s">
        <v>98</v>
      </c>
      <c r="B85" s="4">
        <v>45770</v>
      </c>
      <c r="C85" s="4">
        <v>45769</v>
      </c>
      <c r="D85" s="5">
        <v>1</v>
      </c>
      <c r="E85" s="3" t="s">
        <v>648</v>
      </c>
      <c r="F85" s="3" t="s">
        <v>660</v>
      </c>
      <c r="G85" s="3" t="s">
        <v>686</v>
      </c>
      <c r="H85" s="3" t="s">
        <v>703</v>
      </c>
      <c r="I85" s="3" t="s">
        <v>710</v>
      </c>
      <c r="J85" s="3" t="s">
        <v>726</v>
      </c>
      <c r="K85" s="3" t="s">
        <v>732</v>
      </c>
      <c r="L85" s="3" t="s">
        <v>817</v>
      </c>
      <c r="M85" s="3">
        <v>23.24</v>
      </c>
      <c r="N85" s="3">
        <v>44.57</v>
      </c>
      <c r="O85" s="3">
        <v>0.215</v>
      </c>
      <c r="P85" s="3">
        <v>15</v>
      </c>
      <c r="Q85" s="3">
        <v>524.81174999999996</v>
      </c>
      <c r="R85" s="3">
        <f t="shared" si="5"/>
        <v>348.59999999999997</v>
      </c>
      <c r="S85" s="3">
        <v>176.21174999999999</v>
      </c>
      <c r="T85" s="3">
        <f t="shared" si="6"/>
        <v>0.33576182316802167</v>
      </c>
      <c r="U85" s="3" t="str">
        <f t="shared" si="7"/>
        <v>Apr-2025</v>
      </c>
      <c r="AB85" s="3">
        <f t="shared" si="8"/>
        <v>348.59999999999997</v>
      </c>
      <c r="AC85" s="3">
        <f t="shared" si="9"/>
        <v>534.84</v>
      </c>
    </row>
    <row r="86" spans="1:29" x14ac:dyDescent="0.35">
      <c r="A86" s="3" t="s">
        <v>99</v>
      </c>
      <c r="B86" s="4">
        <v>45741</v>
      </c>
      <c r="C86" s="4">
        <v>45764</v>
      </c>
      <c r="D86" s="5">
        <v>23</v>
      </c>
      <c r="E86" s="3" t="s">
        <v>649</v>
      </c>
      <c r="F86" s="3" t="s">
        <v>658</v>
      </c>
      <c r="G86" s="3" t="s">
        <v>683</v>
      </c>
      <c r="H86" s="3" t="s">
        <v>704</v>
      </c>
      <c r="I86" s="3" t="s">
        <v>707</v>
      </c>
      <c r="J86" s="3" t="s">
        <v>722</v>
      </c>
      <c r="K86" s="3" t="s">
        <v>729</v>
      </c>
      <c r="L86" s="3" t="s">
        <v>818</v>
      </c>
      <c r="M86" s="3">
        <v>1421.19</v>
      </c>
      <c r="N86" s="3">
        <v>1808.26</v>
      </c>
      <c r="O86" s="3">
        <v>0.104</v>
      </c>
      <c r="P86" s="3">
        <v>13</v>
      </c>
      <c r="Q86" s="3">
        <v>21062.61248</v>
      </c>
      <c r="R86" s="3">
        <f t="shared" si="5"/>
        <v>18475.47</v>
      </c>
      <c r="S86" s="3">
        <v>2587.1424799999986</v>
      </c>
      <c r="T86" s="3">
        <f t="shared" si="6"/>
        <v>0.12283103449093123</v>
      </c>
      <c r="U86" s="3" t="str">
        <f t="shared" si="7"/>
        <v>Mar-2025</v>
      </c>
      <c r="AB86" s="3">
        <f t="shared" si="8"/>
        <v>18475.47</v>
      </c>
      <c r="AC86" s="3">
        <f t="shared" si="9"/>
        <v>21062.61248</v>
      </c>
    </row>
    <row r="87" spans="1:29" x14ac:dyDescent="0.35">
      <c r="A87" s="3" t="s">
        <v>100</v>
      </c>
      <c r="B87" s="4">
        <v>45282</v>
      </c>
      <c r="C87" s="4">
        <v>45283</v>
      </c>
      <c r="D87" s="5">
        <v>1</v>
      </c>
      <c r="E87" s="3" t="s">
        <v>646</v>
      </c>
      <c r="F87" s="3" t="s">
        <v>661</v>
      </c>
      <c r="G87" s="3" t="s">
        <v>695</v>
      </c>
      <c r="H87" s="3" t="s">
        <v>703</v>
      </c>
      <c r="I87" s="3" t="s">
        <v>709</v>
      </c>
      <c r="J87" s="3" t="s">
        <v>726</v>
      </c>
      <c r="K87" s="3" t="s">
        <v>727</v>
      </c>
      <c r="L87" s="3" t="s">
        <v>819</v>
      </c>
      <c r="M87" s="3">
        <v>1186.18</v>
      </c>
      <c r="N87" s="3">
        <v>1285.0899999999999</v>
      </c>
      <c r="O87" s="3">
        <v>7.0000000000000007E-2</v>
      </c>
      <c r="P87" s="3">
        <v>11</v>
      </c>
      <c r="Q87" s="3">
        <v>13146.470699999998</v>
      </c>
      <c r="R87" s="3">
        <f t="shared" si="5"/>
        <v>13047.980000000001</v>
      </c>
      <c r="S87" s="3">
        <v>98.49069999999665</v>
      </c>
      <c r="T87" s="3">
        <f t="shared" si="6"/>
        <v>7.4917977796121861E-3</v>
      </c>
      <c r="U87" s="3" t="str">
        <f t="shared" si="7"/>
        <v>Dec-2023</v>
      </c>
      <c r="AB87" s="3">
        <f t="shared" si="8"/>
        <v>13047.980000000001</v>
      </c>
      <c r="AC87" s="3">
        <f t="shared" si="9"/>
        <v>13146.470699999998</v>
      </c>
    </row>
    <row r="88" spans="1:29" x14ac:dyDescent="0.35">
      <c r="A88" s="3" t="s">
        <v>101</v>
      </c>
      <c r="B88" s="4">
        <v>45388</v>
      </c>
      <c r="C88" s="4">
        <v>45407</v>
      </c>
      <c r="D88" s="5">
        <v>19</v>
      </c>
      <c r="E88" s="3" t="s">
        <v>647</v>
      </c>
      <c r="F88" s="3" t="s">
        <v>659</v>
      </c>
      <c r="G88" s="3" t="s">
        <v>685</v>
      </c>
      <c r="H88" s="3" t="s">
        <v>701</v>
      </c>
      <c r="I88" s="3" t="s">
        <v>707</v>
      </c>
      <c r="J88" s="3" t="s">
        <v>723</v>
      </c>
      <c r="K88" s="3" t="s">
        <v>727</v>
      </c>
      <c r="L88" s="3" t="s">
        <v>820</v>
      </c>
      <c r="M88" s="3">
        <v>1366.48</v>
      </c>
      <c r="N88" s="3">
        <v>1678.14</v>
      </c>
      <c r="O88" s="3">
        <v>0.154</v>
      </c>
      <c r="P88" s="3">
        <v>10</v>
      </c>
      <c r="Q88" s="3">
        <v>14197.064400000001</v>
      </c>
      <c r="R88" s="3">
        <f t="shared" si="5"/>
        <v>13664.8</v>
      </c>
      <c r="S88" s="3">
        <v>532.26440000000184</v>
      </c>
      <c r="T88" s="3">
        <f t="shared" si="6"/>
        <v>3.7491159087790132E-2</v>
      </c>
      <c r="U88" s="3" t="str">
        <f t="shared" si="7"/>
        <v>Apr-2024</v>
      </c>
      <c r="AB88" s="3">
        <f t="shared" si="8"/>
        <v>13664.8</v>
      </c>
      <c r="AC88" s="3">
        <f t="shared" si="9"/>
        <v>14197.064400000001</v>
      </c>
    </row>
    <row r="89" spans="1:29" x14ac:dyDescent="0.35">
      <c r="A89" s="3" t="s">
        <v>102</v>
      </c>
      <c r="B89" s="4">
        <v>45876</v>
      </c>
      <c r="C89" s="4">
        <v>45888</v>
      </c>
      <c r="D89" s="5">
        <v>12</v>
      </c>
      <c r="E89" s="3" t="s">
        <v>646</v>
      </c>
      <c r="F89" s="3" t="s">
        <v>650</v>
      </c>
      <c r="G89" s="3" t="s">
        <v>678</v>
      </c>
      <c r="H89" s="3" t="s">
        <v>701</v>
      </c>
      <c r="I89" s="3" t="s">
        <v>1422</v>
      </c>
      <c r="J89" s="3" t="s">
        <v>724</v>
      </c>
      <c r="K89" s="3" t="s">
        <v>727</v>
      </c>
      <c r="L89" s="3" t="s">
        <v>821</v>
      </c>
      <c r="M89" s="3">
        <v>601.51</v>
      </c>
      <c r="N89" s="3">
        <v>679.35</v>
      </c>
      <c r="O89" s="3">
        <v>0.188</v>
      </c>
      <c r="P89" s="3">
        <v>3</v>
      </c>
      <c r="Q89" s="3">
        <v>1654.8966000000003</v>
      </c>
      <c r="R89" s="3">
        <f t="shared" si="5"/>
        <v>1804.53</v>
      </c>
      <c r="S89" s="3">
        <v>149.63339999999971</v>
      </c>
      <c r="T89" s="3">
        <f t="shared" si="6"/>
        <v>9.0418579626062243E-2</v>
      </c>
      <c r="U89" s="3" t="str">
        <f t="shared" si="7"/>
        <v>Aug-2025</v>
      </c>
      <c r="AB89" s="3">
        <f t="shared" si="8"/>
        <v>1804.53</v>
      </c>
      <c r="AC89" s="3">
        <f t="shared" si="9"/>
        <v>1654.8966000000003</v>
      </c>
    </row>
    <row r="90" spans="1:29" x14ac:dyDescent="0.35">
      <c r="A90" s="3" t="s">
        <v>103</v>
      </c>
      <c r="B90" s="4">
        <v>45312</v>
      </c>
      <c r="C90" s="4">
        <v>45316</v>
      </c>
      <c r="D90" s="5">
        <v>4</v>
      </c>
      <c r="E90" s="3" t="s">
        <v>647</v>
      </c>
      <c r="F90" s="3" t="s">
        <v>654</v>
      </c>
      <c r="G90" s="3" t="s">
        <v>680</v>
      </c>
      <c r="H90" s="3" t="s">
        <v>704</v>
      </c>
      <c r="I90" s="3" t="s">
        <v>711</v>
      </c>
      <c r="J90" s="3" t="s">
        <v>712</v>
      </c>
      <c r="K90" s="3" t="s">
        <v>732</v>
      </c>
      <c r="L90" s="3" t="s">
        <v>822</v>
      </c>
      <c r="M90" s="3">
        <v>523.70000000000005</v>
      </c>
      <c r="N90" s="3">
        <v>1109.92</v>
      </c>
      <c r="O90" s="3">
        <v>0.03</v>
      </c>
      <c r="P90" s="3">
        <v>11</v>
      </c>
      <c r="Q90" s="3">
        <v>11842.8464</v>
      </c>
      <c r="R90" s="3">
        <f t="shared" si="5"/>
        <v>5760.7000000000007</v>
      </c>
      <c r="S90" s="3">
        <v>6082.1463999999996</v>
      </c>
      <c r="T90" s="3">
        <f t="shared" si="6"/>
        <v>0.51357133197302973</v>
      </c>
      <c r="U90" s="3" t="str">
        <f t="shared" si="7"/>
        <v>Jan-2024</v>
      </c>
      <c r="AB90" s="3">
        <f t="shared" si="8"/>
        <v>5760.7000000000007</v>
      </c>
      <c r="AC90" s="3">
        <f t="shared" si="9"/>
        <v>11842.8464</v>
      </c>
    </row>
    <row r="91" spans="1:29" x14ac:dyDescent="0.35">
      <c r="A91" s="3" t="s">
        <v>104</v>
      </c>
      <c r="B91" s="4">
        <v>45106</v>
      </c>
      <c r="C91" s="4">
        <v>45109</v>
      </c>
      <c r="D91" s="5">
        <v>3</v>
      </c>
      <c r="E91" s="3" t="s">
        <v>647</v>
      </c>
      <c r="F91" s="3" t="s">
        <v>652</v>
      </c>
      <c r="G91" s="3" t="s">
        <v>694</v>
      </c>
      <c r="H91" s="3" t="s">
        <v>702</v>
      </c>
      <c r="I91" s="3" t="s">
        <v>709</v>
      </c>
      <c r="J91" s="3" t="s">
        <v>721</v>
      </c>
      <c r="K91" s="3" t="s">
        <v>732</v>
      </c>
      <c r="L91" s="3" t="s">
        <v>823</v>
      </c>
      <c r="M91" s="3">
        <v>55.65</v>
      </c>
      <c r="N91" s="3">
        <v>83.57</v>
      </c>
      <c r="O91" s="3">
        <v>6.6000000000000003E-2</v>
      </c>
      <c r="P91" s="3">
        <v>8</v>
      </c>
      <c r="Q91" s="3">
        <v>624.43503999999996</v>
      </c>
      <c r="R91" s="3">
        <f t="shared" si="5"/>
        <v>445.2</v>
      </c>
      <c r="S91" s="3">
        <v>179.23503999999997</v>
      </c>
      <c r="T91" s="3">
        <f t="shared" si="6"/>
        <v>0.2870355257449998</v>
      </c>
      <c r="U91" s="3" t="str">
        <f t="shared" si="7"/>
        <v>Jun-2023</v>
      </c>
      <c r="AB91" s="3">
        <f t="shared" si="8"/>
        <v>445.2</v>
      </c>
      <c r="AC91" s="3">
        <f t="shared" si="9"/>
        <v>624.43503999999996</v>
      </c>
    </row>
    <row r="92" spans="1:29" x14ac:dyDescent="0.35">
      <c r="A92" s="3" t="s">
        <v>105</v>
      </c>
      <c r="B92" s="4">
        <v>45775</v>
      </c>
      <c r="C92" s="4">
        <v>45792</v>
      </c>
      <c r="D92" s="5">
        <v>17</v>
      </c>
      <c r="E92" s="3" t="s">
        <v>647</v>
      </c>
      <c r="F92" s="3" t="s">
        <v>652</v>
      </c>
      <c r="G92" s="3" t="s">
        <v>694</v>
      </c>
      <c r="H92" s="3" t="s">
        <v>702</v>
      </c>
      <c r="I92" s="3" t="s">
        <v>711</v>
      </c>
      <c r="J92" s="3" t="s">
        <v>725</v>
      </c>
      <c r="K92" s="3" t="s">
        <v>729</v>
      </c>
      <c r="L92" s="3" t="s">
        <v>824</v>
      </c>
      <c r="M92" s="3">
        <v>691.19</v>
      </c>
      <c r="N92" s="3">
        <v>1284.3</v>
      </c>
      <c r="O92" s="3">
        <v>7.3999999999999996E-2</v>
      </c>
      <c r="P92" s="3">
        <v>7</v>
      </c>
      <c r="Q92" s="3">
        <v>8324.8326000000015</v>
      </c>
      <c r="R92" s="3">
        <f t="shared" si="5"/>
        <v>4838.33</v>
      </c>
      <c r="S92" s="3">
        <v>3486.5026000000016</v>
      </c>
      <c r="T92" s="3">
        <f t="shared" si="6"/>
        <v>0.41880753253825198</v>
      </c>
      <c r="U92" s="3" t="str">
        <f t="shared" si="7"/>
        <v>Apr-2025</v>
      </c>
      <c r="AB92" s="3">
        <f t="shared" si="8"/>
        <v>4838.33</v>
      </c>
      <c r="AC92" s="3">
        <f t="shared" si="9"/>
        <v>8324.8326000000015</v>
      </c>
    </row>
    <row r="93" spans="1:29" x14ac:dyDescent="0.35">
      <c r="A93" s="3" t="s">
        <v>106</v>
      </c>
      <c r="B93" s="4">
        <v>45817</v>
      </c>
      <c r="C93" s="4">
        <v>45833</v>
      </c>
      <c r="D93" s="5">
        <v>16</v>
      </c>
      <c r="E93" s="3" t="s">
        <v>647</v>
      </c>
      <c r="F93" s="3" t="s">
        <v>654</v>
      </c>
      <c r="G93" s="3" t="s">
        <v>696</v>
      </c>
      <c r="H93" s="3" t="s">
        <v>706</v>
      </c>
      <c r="I93" s="3" t="s">
        <v>710</v>
      </c>
      <c r="J93" s="3" t="s">
        <v>724</v>
      </c>
      <c r="K93" s="3" t="s">
        <v>730</v>
      </c>
      <c r="L93" s="3" t="s">
        <v>825</v>
      </c>
      <c r="M93" s="3">
        <v>527.33000000000004</v>
      </c>
      <c r="N93" s="3">
        <v>911.72</v>
      </c>
      <c r="O93" s="3">
        <v>0.14399999999999999</v>
      </c>
      <c r="P93" s="3">
        <v>25</v>
      </c>
      <c r="Q93" s="3">
        <v>19510.808000000001</v>
      </c>
      <c r="R93" s="3">
        <f t="shared" si="5"/>
        <v>13183.250000000002</v>
      </c>
      <c r="S93" s="3">
        <v>6327.5579999999991</v>
      </c>
      <c r="T93" s="3">
        <f t="shared" si="6"/>
        <v>0.32431040272652978</v>
      </c>
      <c r="U93" s="3" t="str">
        <f t="shared" si="7"/>
        <v>Jun-2025</v>
      </c>
      <c r="AB93" s="3">
        <f t="shared" si="8"/>
        <v>13183.250000000002</v>
      </c>
      <c r="AC93" s="3">
        <f t="shared" si="9"/>
        <v>19510.808000000001</v>
      </c>
    </row>
    <row r="94" spans="1:29" x14ac:dyDescent="0.35">
      <c r="A94" s="3" t="s">
        <v>107</v>
      </c>
      <c r="B94" s="4">
        <v>45101</v>
      </c>
      <c r="C94" s="4">
        <v>45100</v>
      </c>
      <c r="D94" s="5">
        <v>1</v>
      </c>
      <c r="E94" s="3" t="s">
        <v>648</v>
      </c>
      <c r="F94" s="3" t="s">
        <v>655</v>
      </c>
      <c r="G94" s="3" t="s">
        <v>692</v>
      </c>
      <c r="H94" s="3" t="s">
        <v>703</v>
      </c>
      <c r="I94" s="3" t="s">
        <v>707</v>
      </c>
      <c r="J94" s="3" t="s">
        <v>718</v>
      </c>
      <c r="K94" s="3" t="s">
        <v>728</v>
      </c>
      <c r="L94" s="3" t="s">
        <v>826</v>
      </c>
      <c r="M94" s="3">
        <v>804.01</v>
      </c>
      <c r="N94" s="3">
        <v>1405.07</v>
      </c>
      <c r="O94" s="3">
        <v>9.6000000000000002E-2</v>
      </c>
      <c r="P94" s="3">
        <v>8</v>
      </c>
      <c r="Q94" s="3">
        <v>10161.46624</v>
      </c>
      <c r="R94" s="3">
        <f t="shared" si="5"/>
        <v>6432.08</v>
      </c>
      <c r="S94" s="3">
        <v>3729.3862399999998</v>
      </c>
      <c r="T94" s="3">
        <f t="shared" si="6"/>
        <v>0.36701260939287439</v>
      </c>
      <c r="U94" s="3" t="str">
        <f t="shared" si="7"/>
        <v>Jun-2023</v>
      </c>
      <c r="AB94" s="3">
        <f t="shared" si="8"/>
        <v>6432.08</v>
      </c>
      <c r="AC94" s="3">
        <f t="shared" si="9"/>
        <v>10161.46624</v>
      </c>
    </row>
    <row r="95" spans="1:29" x14ac:dyDescent="0.35">
      <c r="A95" s="3" t="s">
        <v>108</v>
      </c>
      <c r="B95" s="4">
        <v>45569</v>
      </c>
      <c r="C95" s="4">
        <v>45598</v>
      </c>
      <c r="D95" s="5">
        <v>29</v>
      </c>
      <c r="E95" s="3" t="s">
        <v>646</v>
      </c>
      <c r="F95" s="3" t="s">
        <v>651</v>
      </c>
      <c r="G95" s="3" t="s">
        <v>669</v>
      </c>
      <c r="H95" s="3" t="s">
        <v>701</v>
      </c>
      <c r="I95" s="3" t="s">
        <v>710</v>
      </c>
      <c r="J95" s="3" t="s">
        <v>721</v>
      </c>
      <c r="K95" s="3" t="s">
        <v>733</v>
      </c>
      <c r="L95" s="3" t="s">
        <v>827</v>
      </c>
      <c r="M95" s="3">
        <v>412.09</v>
      </c>
      <c r="N95" s="3">
        <v>968.94</v>
      </c>
      <c r="O95" s="3">
        <v>9.9000000000000005E-2</v>
      </c>
      <c r="P95" s="3">
        <v>23</v>
      </c>
      <c r="Q95" s="3">
        <v>20079.343620000003</v>
      </c>
      <c r="R95" s="3">
        <f t="shared" si="5"/>
        <v>9478.07</v>
      </c>
      <c r="S95" s="3">
        <v>10601.273620000004</v>
      </c>
      <c r="T95" s="3">
        <f t="shared" si="6"/>
        <v>0.52796913189137418</v>
      </c>
      <c r="U95" s="3" t="str">
        <f t="shared" si="7"/>
        <v>Oct-2024</v>
      </c>
      <c r="AB95" s="3">
        <f t="shared" si="8"/>
        <v>9478.07</v>
      </c>
      <c r="AC95" s="3">
        <f t="shared" si="9"/>
        <v>20079.343620000003</v>
      </c>
    </row>
    <row r="96" spans="1:29" x14ac:dyDescent="0.35">
      <c r="A96" s="3" t="s">
        <v>109</v>
      </c>
      <c r="B96" s="4">
        <v>45910</v>
      </c>
      <c r="C96" s="4">
        <v>45930</v>
      </c>
      <c r="D96" s="5">
        <v>20</v>
      </c>
      <c r="E96" s="3" t="s">
        <v>646</v>
      </c>
      <c r="F96" s="3" t="s">
        <v>650</v>
      </c>
      <c r="G96" s="3" t="s">
        <v>675</v>
      </c>
      <c r="H96" s="3" t="s">
        <v>701</v>
      </c>
      <c r="I96" s="3" t="s">
        <v>711</v>
      </c>
      <c r="J96" s="3" t="s">
        <v>716</v>
      </c>
      <c r="K96" s="3" t="s">
        <v>730</v>
      </c>
      <c r="L96" s="3" t="s">
        <v>828</v>
      </c>
      <c r="M96" s="3">
        <v>1009.48</v>
      </c>
      <c r="N96" s="3">
        <v>1088.81</v>
      </c>
      <c r="O96" s="3">
        <v>0.16</v>
      </c>
      <c r="P96" s="3">
        <v>6</v>
      </c>
      <c r="Q96" s="3">
        <v>5487.6023999999998</v>
      </c>
      <c r="R96" s="3">
        <f t="shared" si="5"/>
        <v>6056.88</v>
      </c>
      <c r="S96" s="3">
        <v>569.27760000000035</v>
      </c>
      <c r="T96" s="3">
        <f t="shared" si="6"/>
        <v>0.10373885688219693</v>
      </c>
      <c r="U96" s="3" t="str">
        <f t="shared" si="7"/>
        <v>Sep-2025</v>
      </c>
      <c r="AB96" s="3">
        <f t="shared" si="8"/>
        <v>6056.88</v>
      </c>
      <c r="AC96" s="3">
        <f t="shared" si="9"/>
        <v>5487.6023999999998</v>
      </c>
    </row>
    <row r="97" spans="1:29" x14ac:dyDescent="0.35">
      <c r="A97" s="3" t="s">
        <v>110</v>
      </c>
      <c r="B97" s="4">
        <v>45022</v>
      </c>
      <c r="C97" s="4">
        <v>45043</v>
      </c>
      <c r="D97" s="5">
        <v>21</v>
      </c>
      <c r="E97" s="3" t="s">
        <v>649</v>
      </c>
      <c r="F97" s="3" t="s">
        <v>658</v>
      </c>
      <c r="G97" s="3" t="s">
        <v>693</v>
      </c>
      <c r="H97" s="3" t="s">
        <v>706</v>
      </c>
      <c r="I97" s="3" t="s">
        <v>710</v>
      </c>
      <c r="J97" s="3" t="s">
        <v>714</v>
      </c>
      <c r="K97" s="3" t="s">
        <v>728</v>
      </c>
      <c r="L97" s="3" t="s">
        <v>829</v>
      </c>
      <c r="M97" s="3">
        <v>1084.79</v>
      </c>
      <c r="N97" s="3">
        <v>2484.9899999999998</v>
      </c>
      <c r="O97" s="3">
        <v>3.4000000000000002E-2</v>
      </c>
      <c r="P97" s="3">
        <v>18</v>
      </c>
      <c r="Q97" s="3">
        <v>43209.006119999991</v>
      </c>
      <c r="R97" s="3">
        <f t="shared" si="5"/>
        <v>19526.22</v>
      </c>
      <c r="S97" s="3">
        <v>23682.78611999999</v>
      </c>
      <c r="T97" s="3">
        <f t="shared" si="6"/>
        <v>0.54809837685755114</v>
      </c>
      <c r="U97" s="3" t="str">
        <f t="shared" si="7"/>
        <v>Apr-2023</v>
      </c>
      <c r="AB97" s="3">
        <f t="shared" si="8"/>
        <v>19526.22</v>
      </c>
      <c r="AC97" s="3">
        <f t="shared" si="9"/>
        <v>43209.006119999991</v>
      </c>
    </row>
    <row r="98" spans="1:29" x14ac:dyDescent="0.35">
      <c r="A98" s="3" t="s">
        <v>111</v>
      </c>
      <c r="B98" s="4">
        <v>45870</v>
      </c>
      <c r="C98" s="4">
        <v>45885</v>
      </c>
      <c r="D98" s="5">
        <v>15</v>
      </c>
      <c r="E98" s="3" t="s">
        <v>647</v>
      </c>
      <c r="F98" s="3" t="s">
        <v>654</v>
      </c>
      <c r="G98" s="3" t="s">
        <v>1422</v>
      </c>
      <c r="H98" s="3" t="s">
        <v>706</v>
      </c>
      <c r="I98" s="3" t="s">
        <v>711</v>
      </c>
      <c r="J98" s="3" t="s">
        <v>719</v>
      </c>
      <c r="K98" s="3" t="s">
        <v>732</v>
      </c>
      <c r="L98" s="3" t="s">
        <v>830</v>
      </c>
      <c r="M98" s="3">
        <v>24.44</v>
      </c>
      <c r="N98" s="3">
        <v>28.69</v>
      </c>
      <c r="O98" s="3">
        <v>0.14599999999999999</v>
      </c>
      <c r="P98" s="3">
        <v>6</v>
      </c>
      <c r="Q98" s="3">
        <v>147.00756000000001</v>
      </c>
      <c r="R98" s="3">
        <f t="shared" si="5"/>
        <v>146.64000000000001</v>
      </c>
      <c r="S98" s="3">
        <v>0.36755999999999744</v>
      </c>
      <c r="T98" s="3">
        <f t="shared" si="6"/>
        <v>2.5002795774584476E-3</v>
      </c>
      <c r="U98" s="3" t="str">
        <f t="shared" si="7"/>
        <v>Aug-2025</v>
      </c>
      <c r="AB98" s="3">
        <f t="shared" si="8"/>
        <v>146.64000000000001</v>
      </c>
      <c r="AC98" s="3">
        <f t="shared" si="9"/>
        <v>147.00756000000001</v>
      </c>
    </row>
    <row r="99" spans="1:29" x14ac:dyDescent="0.35">
      <c r="A99" s="3" t="s">
        <v>112</v>
      </c>
      <c r="B99" s="4">
        <v>45440</v>
      </c>
      <c r="C99" s="4">
        <v>45438</v>
      </c>
      <c r="D99" s="5">
        <v>2</v>
      </c>
      <c r="E99" s="3" t="s">
        <v>646</v>
      </c>
      <c r="F99" s="3" t="s">
        <v>651</v>
      </c>
      <c r="G99" s="3" t="s">
        <v>669</v>
      </c>
      <c r="H99" s="3" t="s">
        <v>706</v>
      </c>
      <c r="I99" s="3" t="s">
        <v>708</v>
      </c>
      <c r="J99" s="3" t="s">
        <v>721</v>
      </c>
      <c r="K99" s="3" t="s">
        <v>733</v>
      </c>
      <c r="L99" s="3" t="s">
        <v>831</v>
      </c>
      <c r="M99" s="3">
        <v>1227.08</v>
      </c>
      <c r="N99" s="3">
        <v>1896.62</v>
      </c>
      <c r="O99" s="3">
        <v>0</v>
      </c>
      <c r="P99" s="3">
        <v>18</v>
      </c>
      <c r="Q99" s="3">
        <v>34139.159999999996</v>
      </c>
      <c r="R99" s="3">
        <f t="shared" si="5"/>
        <v>22087.439999999999</v>
      </c>
      <c r="S99" s="3">
        <v>12051.719999999998</v>
      </c>
      <c r="T99" s="3">
        <f t="shared" si="6"/>
        <v>0.353017473189147</v>
      </c>
      <c r="U99" s="3" t="str">
        <f t="shared" si="7"/>
        <v>May-2024</v>
      </c>
      <c r="AB99" s="3">
        <f t="shared" si="8"/>
        <v>22087.439999999999</v>
      </c>
      <c r="AC99" s="3">
        <f t="shared" si="9"/>
        <v>34139.159999999996</v>
      </c>
    </row>
    <row r="100" spans="1:29" x14ac:dyDescent="0.35">
      <c r="A100" s="3" t="s">
        <v>113</v>
      </c>
      <c r="B100" s="4">
        <v>45860</v>
      </c>
      <c r="C100" s="4">
        <v>45887</v>
      </c>
      <c r="D100" s="5">
        <v>27</v>
      </c>
      <c r="E100" s="3" t="s">
        <v>647</v>
      </c>
      <c r="F100" s="3" t="s">
        <v>659</v>
      </c>
      <c r="G100" s="3" t="s">
        <v>676</v>
      </c>
      <c r="H100" s="3" t="s">
        <v>703</v>
      </c>
      <c r="I100" s="3" t="s">
        <v>709</v>
      </c>
      <c r="J100" s="3" t="s">
        <v>724</v>
      </c>
      <c r="K100" s="3" t="s">
        <v>729</v>
      </c>
      <c r="L100" s="3" t="s">
        <v>832</v>
      </c>
      <c r="M100" s="3">
        <v>547.32000000000005</v>
      </c>
      <c r="N100" s="3">
        <v>419.17</v>
      </c>
      <c r="O100" s="3">
        <v>9.1999999999999998E-2</v>
      </c>
      <c r="P100" s="3">
        <v>14</v>
      </c>
      <c r="Q100" s="3">
        <v>5328.4890400000004</v>
      </c>
      <c r="R100" s="3">
        <f t="shared" si="5"/>
        <v>7662.4800000000005</v>
      </c>
      <c r="S100" s="3">
        <v>2333.9909600000001</v>
      </c>
      <c r="T100" s="3">
        <f t="shared" si="6"/>
        <v>0.43802116181137907</v>
      </c>
      <c r="U100" s="3" t="str">
        <f t="shared" si="7"/>
        <v>Jul-2025</v>
      </c>
      <c r="AB100" s="3">
        <f t="shared" si="8"/>
        <v>7662.4800000000005</v>
      </c>
      <c r="AC100" s="3">
        <f t="shared" si="9"/>
        <v>5328.4890400000004</v>
      </c>
    </row>
    <row r="101" spans="1:29" x14ac:dyDescent="0.35">
      <c r="A101" s="3" t="s">
        <v>114</v>
      </c>
      <c r="B101" s="4">
        <v>44985</v>
      </c>
      <c r="C101" s="4">
        <v>45005</v>
      </c>
      <c r="D101" s="5">
        <v>20</v>
      </c>
      <c r="E101" s="3" t="s">
        <v>649</v>
      </c>
      <c r="F101" s="3" t="s">
        <v>656</v>
      </c>
      <c r="G101" s="3" t="s">
        <v>671</v>
      </c>
      <c r="H101" s="3" t="s">
        <v>705</v>
      </c>
      <c r="I101" s="3" t="s">
        <v>711</v>
      </c>
      <c r="J101" s="3" t="s">
        <v>722</v>
      </c>
      <c r="K101" s="3" t="s">
        <v>731</v>
      </c>
      <c r="L101" s="3" t="s">
        <v>833</v>
      </c>
      <c r="M101" s="3">
        <v>1200.78</v>
      </c>
      <c r="N101" s="3">
        <v>2001.17</v>
      </c>
      <c r="O101" s="3">
        <v>0.29199999999999998</v>
      </c>
      <c r="P101" s="3">
        <v>18</v>
      </c>
      <c r="Q101" s="3">
        <v>25502.910479999999</v>
      </c>
      <c r="R101" s="3">
        <f t="shared" si="5"/>
        <v>21614.04</v>
      </c>
      <c r="S101" s="3">
        <v>3888.8704799999978</v>
      </c>
      <c r="T101" s="3">
        <f t="shared" si="6"/>
        <v>0.15248732034132906</v>
      </c>
      <c r="U101" s="3" t="str">
        <f t="shared" si="7"/>
        <v>Feb-2023</v>
      </c>
      <c r="AB101" s="3">
        <f t="shared" si="8"/>
        <v>21614.04</v>
      </c>
      <c r="AC101" s="3">
        <f t="shared" si="9"/>
        <v>28816.847999999998</v>
      </c>
    </row>
    <row r="102" spans="1:29" x14ac:dyDescent="0.35">
      <c r="A102" s="3" t="s">
        <v>115</v>
      </c>
      <c r="B102" s="4">
        <v>45684</v>
      </c>
      <c r="C102" s="4">
        <v>45703</v>
      </c>
      <c r="D102" s="5">
        <v>19</v>
      </c>
      <c r="E102" s="3" t="s">
        <v>647</v>
      </c>
      <c r="F102" s="3" t="s">
        <v>659</v>
      </c>
      <c r="G102" s="3" t="s">
        <v>676</v>
      </c>
      <c r="H102" s="3" t="s">
        <v>703</v>
      </c>
      <c r="I102" s="3" t="s">
        <v>711</v>
      </c>
      <c r="J102" s="3" t="s">
        <v>716</v>
      </c>
      <c r="K102" s="3" t="s">
        <v>730</v>
      </c>
      <c r="L102" s="3" t="s">
        <v>834</v>
      </c>
      <c r="M102" s="3">
        <v>1253.22</v>
      </c>
      <c r="N102" s="3">
        <v>3104.71</v>
      </c>
      <c r="O102" s="3">
        <v>0</v>
      </c>
      <c r="P102" s="3">
        <v>17</v>
      </c>
      <c r="Q102" s="3">
        <v>52780.07</v>
      </c>
      <c r="R102" s="3">
        <f t="shared" si="5"/>
        <v>21304.74</v>
      </c>
      <c r="S102" s="3">
        <v>31475.329999999998</v>
      </c>
      <c r="T102" s="3">
        <f t="shared" si="6"/>
        <v>0.59634877331538205</v>
      </c>
      <c r="U102" s="3" t="str">
        <f t="shared" si="7"/>
        <v>Jan-2025</v>
      </c>
      <c r="AB102" s="3">
        <f t="shared" si="8"/>
        <v>21304.74</v>
      </c>
      <c r="AC102" s="3">
        <f t="shared" si="9"/>
        <v>52780.07</v>
      </c>
    </row>
    <row r="103" spans="1:29" x14ac:dyDescent="0.35">
      <c r="A103" s="3" t="s">
        <v>116</v>
      </c>
      <c r="B103" s="4">
        <v>45304</v>
      </c>
      <c r="C103" s="4">
        <v>45313</v>
      </c>
      <c r="D103" s="5">
        <v>9</v>
      </c>
      <c r="E103" s="3" t="s">
        <v>647</v>
      </c>
      <c r="F103" s="3" t="s">
        <v>654</v>
      </c>
      <c r="G103" s="3" t="s">
        <v>691</v>
      </c>
      <c r="H103" s="3" t="s">
        <v>706</v>
      </c>
      <c r="I103" s="3" t="s">
        <v>709</v>
      </c>
      <c r="J103" s="3" t="s">
        <v>713</v>
      </c>
      <c r="K103" s="3" t="s">
        <v>727</v>
      </c>
      <c r="L103" s="3" t="s">
        <v>835</v>
      </c>
      <c r="M103" s="3">
        <v>313.60000000000002</v>
      </c>
      <c r="N103" s="3">
        <v>334.28</v>
      </c>
      <c r="O103" s="3">
        <v>0.14000000000000001</v>
      </c>
      <c r="P103" s="3">
        <v>22</v>
      </c>
      <c r="Q103" s="3">
        <v>6324.5775999999996</v>
      </c>
      <c r="R103" s="3">
        <f t="shared" si="5"/>
        <v>6899.2000000000007</v>
      </c>
      <c r="S103" s="3">
        <v>574.62240000000111</v>
      </c>
      <c r="T103" s="3">
        <f t="shared" si="6"/>
        <v>9.0855458868905517E-2</v>
      </c>
      <c r="U103" s="3" t="str">
        <f t="shared" si="7"/>
        <v>Jan-2024</v>
      </c>
      <c r="AB103" s="3">
        <f t="shared" si="8"/>
        <v>6899.2000000000007</v>
      </c>
      <c r="AC103" s="3">
        <f t="shared" si="9"/>
        <v>6324.5775999999996</v>
      </c>
    </row>
    <row r="104" spans="1:29" x14ac:dyDescent="0.35">
      <c r="A104" s="3" t="s">
        <v>117</v>
      </c>
      <c r="B104" s="4">
        <v>45747</v>
      </c>
      <c r="C104" s="4">
        <v>45751</v>
      </c>
      <c r="D104" s="5">
        <v>4</v>
      </c>
      <c r="E104" s="3" t="s">
        <v>646</v>
      </c>
      <c r="F104" s="3" t="s">
        <v>650</v>
      </c>
      <c r="G104" s="3" t="s">
        <v>678</v>
      </c>
      <c r="H104" s="3" t="s">
        <v>701</v>
      </c>
      <c r="I104" s="3" t="s">
        <v>711</v>
      </c>
      <c r="J104" s="3" t="s">
        <v>712</v>
      </c>
      <c r="K104" s="3" t="s">
        <v>731</v>
      </c>
      <c r="L104" s="3" t="s">
        <v>836</v>
      </c>
      <c r="M104" s="3">
        <v>862.08</v>
      </c>
      <c r="N104" s="3">
        <v>1952.83</v>
      </c>
      <c r="O104" s="3">
        <v>0</v>
      </c>
      <c r="P104" s="3">
        <v>7</v>
      </c>
      <c r="Q104" s="3">
        <v>13669.81</v>
      </c>
      <c r="R104" s="3">
        <f t="shared" si="5"/>
        <v>6034.56</v>
      </c>
      <c r="S104" s="3">
        <v>7635.2499999999991</v>
      </c>
      <c r="T104" s="3">
        <f t="shared" si="6"/>
        <v>0.5585483631447693</v>
      </c>
      <c r="U104" s="3" t="str">
        <f t="shared" si="7"/>
        <v>Mar-2025</v>
      </c>
      <c r="AB104" s="3">
        <f t="shared" si="8"/>
        <v>6034.56</v>
      </c>
      <c r="AC104" s="3">
        <f t="shared" si="9"/>
        <v>13669.81</v>
      </c>
    </row>
    <row r="105" spans="1:29" x14ac:dyDescent="0.35">
      <c r="A105" s="3" t="s">
        <v>118</v>
      </c>
      <c r="B105" s="4">
        <v>45631</v>
      </c>
      <c r="C105" s="4">
        <v>45654</v>
      </c>
      <c r="D105" s="5">
        <v>23</v>
      </c>
      <c r="E105" s="3" t="s">
        <v>648</v>
      </c>
      <c r="F105" s="3" t="s">
        <v>653</v>
      </c>
      <c r="G105" s="3" t="s">
        <v>688</v>
      </c>
      <c r="H105" s="3" t="s">
        <v>701</v>
      </c>
      <c r="I105" s="3" t="s">
        <v>711</v>
      </c>
      <c r="J105" s="3" t="s">
        <v>721</v>
      </c>
      <c r="K105" s="3" t="s">
        <v>733</v>
      </c>
      <c r="L105" s="3" t="s">
        <v>837</v>
      </c>
      <c r="M105" s="3">
        <v>107.03</v>
      </c>
      <c r="N105" s="3">
        <v>242.29</v>
      </c>
      <c r="O105" s="3">
        <v>0.18</v>
      </c>
      <c r="P105" s="3">
        <v>30</v>
      </c>
      <c r="Q105" s="3">
        <v>5960.3340000000007</v>
      </c>
      <c r="R105" s="3">
        <f t="shared" si="5"/>
        <v>3210.9</v>
      </c>
      <c r="S105" s="3">
        <v>2749.4340000000007</v>
      </c>
      <c r="T105" s="3">
        <f t="shared" si="6"/>
        <v>0.46128857879440988</v>
      </c>
      <c r="U105" s="3" t="str">
        <f t="shared" si="7"/>
        <v>Dec-2024</v>
      </c>
      <c r="AB105" s="3">
        <f t="shared" si="8"/>
        <v>3210.9</v>
      </c>
      <c r="AC105" s="3">
        <f t="shared" si="9"/>
        <v>5960.3340000000007</v>
      </c>
    </row>
    <row r="106" spans="1:29" x14ac:dyDescent="0.35">
      <c r="A106" s="3" t="s">
        <v>119</v>
      </c>
      <c r="B106" s="4">
        <v>45549</v>
      </c>
      <c r="C106" s="4">
        <v>45570</v>
      </c>
      <c r="D106" s="5">
        <v>21</v>
      </c>
      <c r="E106" s="3" t="s">
        <v>647</v>
      </c>
      <c r="F106" s="3" t="s">
        <v>659</v>
      </c>
      <c r="G106" s="3" t="s">
        <v>685</v>
      </c>
      <c r="H106" s="3" t="s">
        <v>705</v>
      </c>
      <c r="I106" s="3" t="s">
        <v>708</v>
      </c>
      <c r="J106" s="3" t="s">
        <v>722</v>
      </c>
      <c r="K106" s="3" t="s">
        <v>731</v>
      </c>
      <c r="L106" s="3" t="s">
        <v>838</v>
      </c>
      <c r="M106" s="3">
        <v>1405.56</v>
      </c>
      <c r="N106" s="3">
        <v>2968.87</v>
      </c>
      <c r="O106" s="3">
        <v>0.16900000000000001</v>
      </c>
      <c r="P106" s="3">
        <v>5</v>
      </c>
      <c r="Q106" s="3">
        <v>12335.654849999999</v>
      </c>
      <c r="R106" s="3">
        <f t="shared" si="5"/>
        <v>7027.7999999999993</v>
      </c>
      <c r="S106" s="3">
        <v>5307.8548499999997</v>
      </c>
      <c r="T106" s="3">
        <f t="shared" si="6"/>
        <v>0.4302856163327235</v>
      </c>
      <c r="U106" s="3" t="str">
        <f t="shared" si="7"/>
        <v>Sep-2024</v>
      </c>
      <c r="AB106" s="3">
        <f t="shared" si="8"/>
        <v>7027.7999999999993</v>
      </c>
      <c r="AC106" s="3">
        <f t="shared" si="9"/>
        <v>12335.654849999999</v>
      </c>
    </row>
    <row r="107" spans="1:29" x14ac:dyDescent="0.35">
      <c r="A107" s="3" t="s">
        <v>120</v>
      </c>
      <c r="B107" s="4">
        <v>45433</v>
      </c>
      <c r="C107" s="4">
        <v>45439</v>
      </c>
      <c r="D107" s="5">
        <v>6</v>
      </c>
      <c r="E107" s="3" t="s">
        <v>646</v>
      </c>
      <c r="F107" s="3" t="s">
        <v>661</v>
      </c>
      <c r="G107" s="3" t="s">
        <v>682</v>
      </c>
      <c r="H107" s="3" t="s">
        <v>703</v>
      </c>
      <c r="I107" s="3" t="s">
        <v>708</v>
      </c>
      <c r="J107" s="3" t="s">
        <v>724</v>
      </c>
      <c r="K107" s="3" t="s">
        <v>727</v>
      </c>
      <c r="L107" s="3" t="s">
        <v>839</v>
      </c>
      <c r="M107" s="3">
        <v>1157.51</v>
      </c>
      <c r="N107" s="3">
        <v>1394.3</v>
      </c>
      <c r="O107" s="3">
        <v>0.27800000000000002</v>
      </c>
      <c r="P107" s="3">
        <v>12</v>
      </c>
      <c r="Q107" s="3">
        <v>12080.215199999999</v>
      </c>
      <c r="R107" s="3">
        <f t="shared" si="5"/>
        <v>13890.119999999999</v>
      </c>
      <c r="S107" s="3">
        <v>1809.9048000000003</v>
      </c>
      <c r="T107" s="3">
        <f t="shared" si="6"/>
        <v>0.14982388724333326</v>
      </c>
      <c r="U107" s="3" t="str">
        <f t="shared" si="7"/>
        <v>May-2024</v>
      </c>
      <c r="AB107" s="3">
        <f t="shared" si="8"/>
        <v>13890.119999999999</v>
      </c>
      <c r="AC107" s="3">
        <f t="shared" si="9"/>
        <v>13385.279999999999</v>
      </c>
    </row>
    <row r="108" spans="1:29" x14ac:dyDescent="0.35">
      <c r="A108" s="3" t="s">
        <v>121</v>
      </c>
      <c r="B108" s="4">
        <v>45057</v>
      </c>
      <c r="C108" s="4">
        <v>45084</v>
      </c>
      <c r="D108" s="5">
        <v>27</v>
      </c>
      <c r="E108" s="3" t="s">
        <v>646</v>
      </c>
      <c r="F108" s="3" t="s">
        <v>650</v>
      </c>
      <c r="G108" s="3" t="s">
        <v>675</v>
      </c>
      <c r="H108" s="3" t="s">
        <v>701</v>
      </c>
      <c r="I108" s="3" t="s">
        <v>708</v>
      </c>
      <c r="J108" s="3" t="s">
        <v>713</v>
      </c>
      <c r="K108" s="3" t="s">
        <v>730</v>
      </c>
      <c r="L108" s="3" t="s">
        <v>840</v>
      </c>
      <c r="M108" s="3">
        <v>12.85</v>
      </c>
      <c r="N108" s="3">
        <v>15.41</v>
      </c>
      <c r="O108" s="3">
        <v>0.13700000000000001</v>
      </c>
      <c r="P108" s="3">
        <v>39</v>
      </c>
      <c r="Q108" s="3">
        <v>518.65436999999997</v>
      </c>
      <c r="R108" s="3">
        <f t="shared" si="5"/>
        <v>501.15</v>
      </c>
      <c r="S108" s="3">
        <v>17.504369999999994</v>
      </c>
      <c r="T108" s="3">
        <f t="shared" si="6"/>
        <v>3.3749585489851353E-2</v>
      </c>
      <c r="U108" s="3" t="str">
        <f t="shared" si="7"/>
        <v>May-2023</v>
      </c>
      <c r="AB108" s="3">
        <f t="shared" si="8"/>
        <v>501.15</v>
      </c>
      <c r="AC108" s="3">
        <f t="shared" si="9"/>
        <v>518.65436999999997</v>
      </c>
    </row>
    <row r="109" spans="1:29" x14ac:dyDescent="0.35">
      <c r="A109" s="3" t="s">
        <v>122</v>
      </c>
      <c r="B109" s="4">
        <v>45518</v>
      </c>
      <c r="C109" s="4">
        <v>45539</v>
      </c>
      <c r="D109" s="5">
        <v>21</v>
      </c>
      <c r="E109" s="3" t="s">
        <v>649</v>
      </c>
      <c r="F109" s="3" t="s">
        <v>658</v>
      </c>
      <c r="G109" s="3" t="s">
        <v>693</v>
      </c>
      <c r="H109" s="3" t="s">
        <v>703</v>
      </c>
      <c r="I109" s="3" t="s">
        <v>708</v>
      </c>
      <c r="J109" s="3" t="s">
        <v>713</v>
      </c>
      <c r="K109" s="3" t="s">
        <v>730</v>
      </c>
      <c r="L109" s="3" t="s">
        <v>841</v>
      </c>
      <c r="M109" s="3">
        <v>1138.8</v>
      </c>
      <c r="N109" s="3">
        <v>2250.81</v>
      </c>
      <c r="O109" s="3">
        <v>0.123</v>
      </c>
      <c r="P109" s="3">
        <v>12</v>
      </c>
      <c r="Q109" s="3">
        <v>23687.524440000001</v>
      </c>
      <c r="R109" s="3">
        <f t="shared" si="5"/>
        <v>13665.599999999999</v>
      </c>
      <c r="S109" s="3">
        <v>10021.924440000003</v>
      </c>
      <c r="T109" s="3">
        <f t="shared" si="6"/>
        <v>0.42308872188756258</v>
      </c>
      <c r="U109" s="3" t="str">
        <f t="shared" si="7"/>
        <v>Aug-2024</v>
      </c>
      <c r="AB109" s="3">
        <f t="shared" si="8"/>
        <v>13665.599999999999</v>
      </c>
      <c r="AC109" s="3">
        <f t="shared" si="9"/>
        <v>23687.524440000001</v>
      </c>
    </row>
    <row r="110" spans="1:29" x14ac:dyDescent="0.35">
      <c r="A110" s="3" t="s">
        <v>123</v>
      </c>
      <c r="B110" s="4">
        <v>45581</v>
      </c>
      <c r="C110" s="4">
        <v>45604</v>
      </c>
      <c r="D110" s="5">
        <v>23</v>
      </c>
      <c r="E110" s="3" t="s">
        <v>647</v>
      </c>
      <c r="F110" s="3" t="s">
        <v>652</v>
      </c>
      <c r="G110" s="3" t="s">
        <v>666</v>
      </c>
      <c r="H110" s="3" t="s">
        <v>705</v>
      </c>
      <c r="I110" s="3" t="s">
        <v>707</v>
      </c>
      <c r="J110" s="3" t="s">
        <v>713</v>
      </c>
      <c r="K110" s="3" t="s">
        <v>729</v>
      </c>
      <c r="L110" s="3" t="s">
        <v>842</v>
      </c>
      <c r="M110" s="3">
        <v>82.14</v>
      </c>
      <c r="N110" s="3">
        <v>166.04</v>
      </c>
      <c r="O110" s="3">
        <v>0</v>
      </c>
      <c r="P110" s="3">
        <v>10</v>
      </c>
      <c r="Q110" s="3">
        <v>1660.3999999999999</v>
      </c>
      <c r="R110" s="3">
        <f t="shared" si="5"/>
        <v>821.4</v>
      </c>
      <c r="S110" s="3">
        <v>838.99999999999989</v>
      </c>
      <c r="T110" s="3">
        <f t="shared" si="6"/>
        <v>0.50529992772825827</v>
      </c>
      <c r="U110" s="3" t="str">
        <f t="shared" si="7"/>
        <v>Oct-2024</v>
      </c>
      <c r="AB110" s="3">
        <f t="shared" si="8"/>
        <v>821.4</v>
      </c>
      <c r="AC110" s="3">
        <f t="shared" si="9"/>
        <v>1660.3999999999999</v>
      </c>
    </row>
    <row r="111" spans="1:29" x14ac:dyDescent="0.35">
      <c r="A111" s="3" t="s">
        <v>124</v>
      </c>
      <c r="B111" s="4">
        <v>45445</v>
      </c>
      <c r="C111" s="4">
        <v>45451</v>
      </c>
      <c r="D111" s="5">
        <v>6</v>
      </c>
      <c r="E111" s="3" t="s">
        <v>646</v>
      </c>
      <c r="F111" s="3" t="s">
        <v>650</v>
      </c>
      <c r="G111" s="3" t="s">
        <v>662</v>
      </c>
      <c r="H111" s="3" t="s">
        <v>704</v>
      </c>
      <c r="I111" s="3" t="s">
        <v>709</v>
      </c>
      <c r="J111" s="3" t="s">
        <v>720</v>
      </c>
      <c r="K111" s="3" t="s">
        <v>733</v>
      </c>
      <c r="L111" s="3" t="s">
        <v>843</v>
      </c>
      <c r="M111" s="3">
        <v>292.94</v>
      </c>
      <c r="N111" s="3">
        <v>356.55</v>
      </c>
      <c r="O111" s="3">
        <v>0.22900000000000001</v>
      </c>
      <c r="P111" s="3">
        <v>2</v>
      </c>
      <c r="Q111" s="3">
        <v>549.80010000000004</v>
      </c>
      <c r="R111" s="3">
        <f t="shared" si="5"/>
        <v>585.88</v>
      </c>
      <c r="S111" s="3">
        <v>36.079899999999952</v>
      </c>
      <c r="T111" s="3">
        <f t="shared" si="6"/>
        <v>6.5623669402751925E-2</v>
      </c>
      <c r="U111" s="3" t="str">
        <f t="shared" si="7"/>
        <v>Jun-2024</v>
      </c>
      <c r="AB111" s="3">
        <f t="shared" si="8"/>
        <v>585.88</v>
      </c>
      <c r="AC111" s="3">
        <f t="shared" si="9"/>
        <v>570.48</v>
      </c>
    </row>
    <row r="112" spans="1:29" x14ac:dyDescent="0.35">
      <c r="A112" s="3" t="s">
        <v>125</v>
      </c>
      <c r="B112" s="4">
        <v>45452</v>
      </c>
      <c r="C112" s="4">
        <v>45480</v>
      </c>
      <c r="D112" s="5">
        <v>28</v>
      </c>
      <c r="E112" s="3" t="s">
        <v>647</v>
      </c>
      <c r="F112" s="3" t="s">
        <v>659</v>
      </c>
      <c r="G112" s="3" t="s">
        <v>676</v>
      </c>
      <c r="H112" s="3" t="s">
        <v>701</v>
      </c>
      <c r="I112" s="3" t="s">
        <v>708</v>
      </c>
      <c r="J112" s="3" t="s">
        <v>713</v>
      </c>
      <c r="K112" s="3" t="s">
        <v>727</v>
      </c>
      <c r="L112" s="3" t="s">
        <v>844</v>
      </c>
      <c r="M112" s="3">
        <v>550.22</v>
      </c>
      <c r="N112" s="3">
        <v>1025.05</v>
      </c>
      <c r="O112" s="3">
        <v>0</v>
      </c>
      <c r="P112" s="3">
        <v>27</v>
      </c>
      <c r="Q112" s="3">
        <v>27676.35</v>
      </c>
      <c r="R112" s="3">
        <f t="shared" si="5"/>
        <v>14855.94</v>
      </c>
      <c r="S112" s="3">
        <v>12820.409999999998</v>
      </c>
      <c r="T112" s="3">
        <f t="shared" si="6"/>
        <v>0.46322618408858102</v>
      </c>
      <c r="U112" s="3" t="str">
        <f t="shared" si="7"/>
        <v>Jun-2024</v>
      </c>
      <c r="AB112" s="3">
        <f t="shared" si="8"/>
        <v>14855.94</v>
      </c>
      <c r="AC112" s="3">
        <f t="shared" si="9"/>
        <v>27676.35</v>
      </c>
    </row>
    <row r="113" spans="1:29" x14ac:dyDescent="0.35">
      <c r="A113" s="3" t="s">
        <v>126</v>
      </c>
      <c r="B113" s="4">
        <v>45453</v>
      </c>
      <c r="C113" s="4">
        <v>45454</v>
      </c>
      <c r="D113" s="5">
        <v>1</v>
      </c>
      <c r="E113" s="3" t="s">
        <v>649</v>
      </c>
      <c r="F113" s="3" t="s">
        <v>658</v>
      </c>
      <c r="G113" s="3" t="s">
        <v>674</v>
      </c>
      <c r="H113" s="3" t="s">
        <v>705</v>
      </c>
      <c r="I113" s="3" t="s">
        <v>709</v>
      </c>
      <c r="J113" s="3" t="s">
        <v>724</v>
      </c>
      <c r="K113" s="3" t="s">
        <v>731</v>
      </c>
      <c r="L113" s="3" t="s">
        <v>845</v>
      </c>
      <c r="M113" s="3">
        <v>1187.1300000000001</v>
      </c>
      <c r="N113" s="3">
        <v>1795.17</v>
      </c>
      <c r="O113" s="3">
        <v>1.2E-2</v>
      </c>
      <c r="P113" s="3">
        <v>17</v>
      </c>
      <c r="Q113" s="3">
        <v>30151.675319999998</v>
      </c>
      <c r="R113" s="3">
        <f t="shared" si="5"/>
        <v>20181.210000000003</v>
      </c>
      <c r="S113" s="3">
        <v>9970.4653199999957</v>
      </c>
      <c r="T113" s="3">
        <f t="shared" si="6"/>
        <v>0.33067699271046663</v>
      </c>
      <c r="U113" s="3" t="str">
        <f t="shared" si="7"/>
        <v>Jun-2024</v>
      </c>
      <c r="AB113" s="3">
        <f t="shared" si="8"/>
        <v>20181.210000000003</v>
      </c>
      <c r="AC113" s="3">
        <f t="shared" si="9"/>
        <v>30151.675319999998</v>
      </c>
    </row>
    <row r="114" spans="1:29" x14ac:dyDescent="0.35">
      <c r="A114" s="3" t="s">
        <v>127</v>
      </c>
      <c r="B114" s="4">
        <v>45472</v>
      </c>
      <c r="C114" s="4">
        <v>45499</v>
      </c>
      <c r="D114" s="5">
        <v>27</v>
      </c>
      <c r="E114" s="3" t="s">
        <v>646</v>
      </c>
      <c r="F114" s="3" t="s">
        <v>661</v>
      </c>
      <c r="G114" s="3" t="s">
        <v>687</v>
      </c>
      <c r="H114" s="3" t="s">
        <v>706</v>
      </c>
      <c r="I114" s="3" t="s">
        <v>710</v>
      </c>
      <c r="J114" s="3" t="s">
        <v>717</v>
      </c>
      <c r="K114" s="3" t="s">
        <v>729</v>
      </c>
      <c r="L114" s="3" t="s">
        <v>846</v>
      </c>
      <c r="M114" s="3">
        <v>5.36</v>
      </c>
      <c r="N114" s="3">
        <v>4.37</v>
      </c>
      <c r="O114" s="3">
        <v>0.11799999999999999</v>
      </c>
      <c r="P114" s="3">
        <v>9</v>
      </c>
      <c r="Q114" s="3">
        <v>34.689059999999998</v>
      </c>
      <c r="R114" s="3">
        <f t="shared" si="5"/>
        <v>48.24</v>
      </c>
      <c r="S114" s="3">
        <v>13.550940000000004</v>
      </c>
      <c r="T114" s="3">
        <f t="shared" si="6"/>
        <v>0.39064016148030545</v>
      </c>
      <c r="U114" s="3" t="str">
        <f t="shared" si="7"/>
        <v>Jun-2024</v>
      </c>
      <c r="AB114" s="3">
        <f t="shared" si="8"/>
        <v>48.24</v>
      </c>
      <c r="AC114" s="3">
        <f t="shared" si="9"/>
        <v>34.689059999999998</v>
      </c>
    </row>
    <row r="115" spans="1:29" x14ac:dyDescent="0.35">
      <c r="A115" s="3" t="s">
        <v>128</v>
      </c>
      <c r="B115" s="4">
        <v>45674</v>
      </c>
      <c r="C115" s="4">
        <v>45681</v>
      </c>
      <c r="D115" s="5">
        <v>7</v>
      </c>
      <c r="E115" s="3" t="s">
        <v>648</v>
      </c>
      <c r="F115" s="3" t="s">
        <v>660</v>
      </c>
      <c r="G115" s="3" t="s">
        <v>697</v>
      </c>
      <c r="H115" s="3" t="s">
        <v>706</v>
      </c>
      <c r="I115" s="3" t="s">
        <v>708</v>
      </c>
      <c r="J115" s="3" t="s">
        <v>715</v>
      </c>
      <c r="K115" s="3" t="s">
        <v>733</v>
      </c>
      <c r="L115" s="3" t="s">
        <v>847</v>
      </c>
      <c r="M115" s="3">
        <v>142.09</v>
      </c>
      <c r="N115" s="3">
        <v>218.5</v>
      </c>
      <c r="O115" s="3">
        <v>0.11899999999999999</v>
      </c>
      <c r="P115" s="3">
        <v>11</v>
      </c>
      <c r="Q115" s="3">
        <v>2117.4834999999998</v>
      </c>
      <c r="R115" s="3">
        <f t="shared" si="5"/>
        <v>1562.99</v>
      </c>
      <c r="S115" s="3">
        <v>554.49349999999981</v>
      </c>
      <c r="T115" s="3">
        <f t="shared" si="6"/>
        <v>0.26186437816398561</v>
      </c>
      <c r="U115" s="3" t="str">
        <f t="shared" si="7"/>
        <v>Jan-2025</v>
      </c>
      <c r="AB115" s="3">
        <f t="shared" si="8"/>
        <v>1562.99</v>
      </c>
      <c r="AC115" s="3">
        <f t="shared" si="9"/>
        <v>2117.4834999999998</v>
      </c>
    </row>
    <row r="116" spans="1:29" x14ac:dyDescent="0.35">
      <c r="A116" s="3" t="s">
        <v>129</v>
      </c>
      <c r="B116" s="4">
        <v>45250</v>
      </c>
      <c r="C116" s="4">
        <v>45265</v>
      </c>
      <c r="D116" s="5">
        <v>15</v>
      </c>
      <c r="E116" s="3" t="s">
        <v>647</v>
      </c>
      <c r="F116" s="3" t="s">
        <v>652</v>
      </c>
      <c r="G116" s="3" t="s">
        <v>689</v>
      </c>
      <c r="H116" s="3" t="s">
        <v>706</v>
      </c>
      <c r="I116" s="3" t="s">
        <v>707</v>
      </c>
      <c r="J116" s="3" t="s">
        <v>716</v>
      </c>
      <c r="K116" s="3" t="s">
        <v>729</v>
      </c>
      <c r="L116" s="3" t="s">
        <v>848</v>
      </c>
      <c r="M116" s="3">
        <v>354.24</v>
      </c>
      <c r="N116" s="3">
        <v>249.87</v>
      </c>
      <c r="O116" s="3">
        <v>0</v>
      </c>
      <c r="P116" s="3">
        <v>6</v>
      </c>
      <c r="Q116" s="3">
        <v>1499.22</v>
      </c>
      <c r="R116" s="3">
        <f t="shared" si="5"/>
        <v>2125.44</v>
      </c>
      <c r="S116" s="3">
        <v>626.22</v>
      </c>
      <c r="T116" s="3">
        <f t="shared" si="6"/>
        <v>0.41769720254532355</v>
      </c>
      <c r="U116" s="3" t="str">
        <f t="shared" si="7"/>
        <v>Nov-2023</v>
      </c>
      <c r="AB116" s="3">
        <f t="shared" si="8"/>
        <v>2125.44</v>
      </c>
      <c r="AC116" s="3">
        <f t="shared" si="9"/>
        <v>1499.22</v>
      </c>
    </row>
    <row r="117" spans="1:29" x14ac:dyDescent="0.35">
      <c r="A117" s="3" t="s">
        <v>130</v>
      </c>
      <c r="B117" s="4">
        <v>44987</v>
      </c>
      <c r="C117" s="4">
        <v>44990</v>
      </c>
      <c r="D117" s="5">
        <v>3</v>
      </c>
      <c r="E117" s="3" t="s">
        <v>648</v>
      </c>
      <c r="F117" s="3" t="s">
        <v>655</v>
      </c>
      <c r="G117" s="3" t="s">
        <v>672</v>
      </c>
      <c r="H117" s="3" t="s">
        <v>706</v>
      </c>
      <c r="I117" s="3" t="s">
        <v>711</v>
      </c>
      <c r="J117" s="3" t="s">
        <v>715</v>
      </c>
      <c r="K117" s="3" t="s">
        <v>732</v>
      </c>
      <c r="L117" s="3" t="s">
        <v>849</v>
      </c>
      <c r="M117" s="3">
        <v>1473.58</v>
      </c>
      <c r="N117" s="3">
        <v>3436.52</v>
      </c>
      <c r="O117" s="3">
        <v>0.108</v>
      </c>
      <c r="P117" s="3">
        <v>8</v>
      </c>
      <c r="Q117" s="3">
        <v>24523.006720000001</v>
      </c>
      <c r="R117" s="3">
        <f t="shared" si="5"/>
        <v>11788.64</v>
      </c>
      <c r="S117" s="3">
        <v>12734.366720000002</v>
      </c>
      <c r="T117" s="3">
        <f t="shared" si="6"/>
        <v>0.51928243813652564</v>
      </c>
      <c r="U117" s="3" t="str">
        <f t="shared" si="7"/>
        <v>Mar-2023</v>
      </c>
      <c r="AB117" s="3">
        <f t="shared" si="8"/>
        <v>11788.64</v>
      </c>
      <c r="AC117" s="3">
        <f t="shared" si="9"/>
        <v>24523.006720000001</v>
      </c>
    </row>
    <row r="118" spans="1:29" x14ac:dyDescent="0.35">
      <c r="A118" s="3" t="s">
        <v>131</v>
      </c>
      <c r="B118" s="4">
        <v>45811</v>
      </c>
      <c r="C118" s="4">
        <v>45818</v>
      </c>
      <c r="D118" s="5">
        <v>7</v>
      </c>
      <c r="E118" s="3" t="s">
        <v>648</v>
      </c>
      <c r="F118" s="3" t="s">
        <v>653</v>
      </c>
      <c r="G118" s="3" t="s">
        <v>667</v>
      </c>
      <c r="H118" s="3" t="s">
        <v>704</v>
      </c>
      <c r="I118" s="3" t="s">
        <v>710</v>
      </c>
      <c r="J118" s="3" t="s">
        <v>719</v>
      </c>
      <c r="K118" s="3" t="s">
        <v>728</v>
      </c>
      <c r="L118" s="3" t="s">
        <v>850</v>
      </c>
      <c r="M118" s="3">
        <v>75.180000000000007</v>
      </c>
      <c r="N118" s="3">
        <v>53.45</v>
      </c>
      <c r="O118" s="3">
        <v>0.157</v>
      </c>
      <c r="P118" s="3">
        <v>17</v>
      </c>
      <c r="Q118" s="3">
        <v>765.99195000000009</v>
      </c>
      <c r="R118" s="3">
        <f t="shared" si="5"/>
        <v>1278.0600000000002</v>
      </c>
      <c r="S118" s="3">
        <v>512.06805000000008</v>
      </c>
      <c r="T118" s="3">
        <f t="shared" si="6"/>
        <v>0.66850317421743144</v>
      </c>
      <c r="U118" s="3" t="str">
        <f t="shared" si="7"/>
        <v>Jun-2025</v>
      </c>
      <c r="AB118" s="3">
        <f t="shared" si="8"/>
        <v>1278.0600000000002</v>
      </c>
      <c r="AC118" s="3">
        <f t="shared" si="9"/>
        <v>765.99195000000009</v>
      </c>
    </row>
    <row r="119" spans="1:29" x14ac:dyDescent="0.35">
      <c r="A119" s="3" t="s">
        <v>132</v>
      </c>
      <c r="B119" s="4">
        <v>45653</v>
      </c>
      <c r="C119" s="4">
        <v>45659</v>
      </c>
      <c r="D119" s="5">
        <v>6</v>
      </c>
      <c r="E119" s="3" t="s">
        <v>649</v>
      </c>
      <c r="F119" s="3" t="s">
        <v>656</v>
      </c>
      <c r="G119" s="3" t="s">
        <v>698</v>
      </c>
      <c r="H119" s="3" t="s">
        <v>702</v>
      </c>
      <c r="I119" s="3" t="s">
        <v>711</v>
      </c>
      <c r="J119" s="3" t="s">
        <v>721</v>
      </c>
      <c r="K119" s="3" t="s">
        <v>731</v>
      </c>
      <c r="L119" s="3" t="s">
        <v>851</v>
      </c>
      <c r="M119" s="3">
        <v>1391.99</v>
      </c>
      <c r="N119" s="3">
        <v>3469.7</v>
      </c>
      <c r="O119" s="3">
        <v>0.184</v>
      </c>
      <c r="P119" s="3">
        <v>23</v>
      </c>
      <c r="Q119" s="3">
        <v>65119.329599999997</v>
      </c>
      <c r="R119" s="3">
        <f t="shared" si="5"/>
        <v>32015.77</v>
      </c>
      <c r="S119" s="3">
        <v>33103.559599999993</v>
      </c>
      <c r="T119" s="3">
        <f t="shared" si="6"/>
        <v>0.50835227886006973</v>
      </c>
      <c r="U119" s="3" t="str">
        <f t="shared" si="7"/>
        <v>Dec-2024</v>
      </c>
      <c r="AB119" s="3">
        <f t="shared" si="8"/>
        <v>32015.77</v>
      </c>
      <c r="AC119" s="3">
        <f t="shared" si="9"/>
        <v>65119.329599999997</v>
      </c>
    </row>
    <row r="120" spans="1:29" x14ac:dyDescent="0.35">
      <c r="A120" s="3" t="s">
        <v>133</v>
      </c>
      <c r="B120" s="4">
        <v>45086</v>
      </c>
      <c r="C120" s="4">
        <v>45096</v>
      </c>
      <c r="D120" s="5">
        <v>10</v>
      </c>
      <c r="E120" s="3" t="s">
        <v>647</v>
      </c>
      <c r="F120" s="3" t="s">
        <v>659</v>
      </c>
      <c r="G120" s="3" t="s">
        <v>699</v>
      </c>
      <c r="H120" s="3" t="s">
        <v>706</v>
      </c>
      <c r="I120" s="3" t="s">
        <v>707</v>
      </c>
      <c r="J120" s="3" t="s">
        <v>721</v>
      </c>
      <c r="K120" s="3" t="s">
        <v>732</v>
      </c>
      <c r="L120" s="3" t="s">
        <v>852</v>
      </c>
      <c r="M120" s="3">
        <v>339.61</v>
      </c>
      <c r="N120" s="3">
        <v>621.02</v>
      </c>
      <c r="O120" s="3">
        <v>7.0999999999999994E-2</v>
      </c>
      <c r="P120" s="3">
        <v>10</v>
      </c>
      <c r="Q120" s="3">
        <v>5769.2758000000003</v>
      </c>
      <c r="R120" s="3">
        <f t="shared" si="5"/>
        <v>3396.1000000000004</v>
      </c>
      <c r="S120" s="3">
        <v>2373.1758</v>
      </c>
      <c r="T120" s="3">
        <f t="shared" si="6"/>
        <v>0.41134726129750981</v>
      </c>
      <c r="U120" s="3" t="str">
        <f t="shared" si="7"/>
        <v>Jun-2023</v>
      </c>
      <c r="AB120" s="3">
        <f t="shared" si="8"/>
        <v>3396.1000000000004</v>
      </c>
      <c r="AC120" s="3">
        <f t="shared" si="9"/>
        <v>5769.2758000000003</v>
      </c>
    </row>
    <row r="121" spans="1:29" x14ac:dyDescent="0.35">
      <c r="A121" s="3" t="s">
        <v>134</v>
      </c>
      <c r="B121" s="4">
        <v>45847</v>
      </c>
      <c r="C121" s="4">
        <v>45856</v>
      </c>
      <c r="D121" s="5">
        <v>9</v>
      </c>
      <c r="E121" s="3" t="s">
        <v>648</v>
      </c>
      <c r="F121" s="3" t="s">
        <v>653</v>
      </c>
      <c r="G121" s="3" t="s">
        <v>688</v>
      </c>
      <c r="H121" s="3" t="s">
        <v>702</v>
      </c>
      <c r="I121" s="3" t="s">
        <v>710</v>
      </c>
      <c r="J121" s="3" t="s">
        <v>714</v>
      </c>
      <c r="K121" s="3" t="s">
        <v>731</v>
      </c>
      <c r="L121" s="3" t="s">
        <v>853</v>
      </c>
      <c r="M121" s="3">
        <v>57.96</v>
      </c>
      <c r="N121" s="3">
        <v>88.51</v>
      </c>
      <c r="O121" s="3">
        <v>4.2999999999999997E-2</v>
      </c>
      <c r="P121" s="3">
        <v>7</v>
      </c>
      <c r="Q121" s="3">
        <v>592.92849000000001</v>
      </c>
      <c r="R121" s="3">
        <f t="shared" si="5"/>
        <v>405.72</v>
      </c>
      <c r="S121" s="3">
        <v>187.20848999999998</v>
      </c>
      <c r="T121" s="3">
        <f t="shared" si="6"/>
        <v>0.3157353595877978</v>
      </c>
      <c r="U121" s="3" t="str">
        <f t="shared" si="7"/>
        <v>Jul-2025</v>
      </c>
      <c r="AB121" s="3">
        <f t="shared" si="8"/>
        <v>405.72</v>
      </c>
      <c r="AC121" s="3">
        <f t="shared" si="9"/>
        <v>592.92849000000001</v>
      </c>
    </row>
    <row r="122" spans="1:29" x14ac:dyDescent="0.35">
      <c r="A122" s="3" t="s">
        <v>135</v>
      </c>
      <c r="B122" s="4">
        <v>45827</v>
      </c>
      <c r="C122" s="4">
        <v>45850</v>
      </c>
      <c r="D122" s="5">
        <v>23</v>
      </c>
      <c r="E122" s="3" t="s">
        <v>649</v>
      </c>
      <c r="F122" s="3" t="s">
        <v>658</v>
      </c>
      <c r="G122" s="3" t="s">
        <v>1422</v>
      </c>
      <c r="H122" s="3" t="s">
        <v>703</v>
      </c>
      <c r="I122" s="3" t="s">
        <v>711</v>
      </c>
      <c r="J122" s="3" t="s">
        <v>1422</v>
      </c>
      <c r="K122" s="3" t="s">
        <v>729</v>
      </c>
      <c r="L122" s="3" t="s">
        <v>854</v>
      </c>
      <c r="M122" s="3">
        <v>801.24</v>
      </c>
      <c r="N122" s="3">
        <v>1959.09</v>
      </c>
      <c r="O122" s="3">
        <v>0.123</v>
      </c>
      <c r="P122" s="3">
        <v>23</v>
      </c>
      <c r="Q122" s="3">
        <v>39516.804389999998</v>
      </c>
      <c r="R122" s="3">
        <f t="shared" si="5"/>
        <v>18428.52</v>
      </c>
      <c r="S122" s="3">
        <v>21088.284389999997</v>
      </c>
      <c r="T122" s="3">
        <f t="shared" si="6"/>
        <v>0.53365358650651762</v>
      </c>
      <c r="U122" s="3" t="str">
        <f t="shared" si="7"/>
        <v>Jun-2025</v>
      </c>
      <c r="AB122" s="3">
        <f t="shared" si="8"/>
        <v>18428.52</v>
      </c>
      <c r="AC122" s="3">
        <f t="shared" si="9"/>
        <v>39516.804389999998</v>
      </c>
    </row>
    <row r="123" spans="1:29" x14ac:dyDescent="0.35">
      <c r="A123" s="3" t="s">
        <v>136</v>
      </c>
      <c r="B123" s="4">
        <v>45249</v>
      </c>
      <c r="C123" s="4">
        <v>45273</v>
      </c>
      <c r="D123" s="5">
        <v>24</v>
      </c>
      <c r="E123" s="3" t="s">
        <v>649</v>
      </c>
      <c r="F123" s="3" t="s">
        <v>657</v>
      </c>
      <c r="G123" s="3" t="s">
        <v>679</v>
      </c>
      <c r="H123" s="3" t="s">
        <v>703</v>
      </c>
      <c r="I123" s="3" t="s">
        <v>711</v>
      </c>
      <c r="J123" s="3" t="s">
        <v>722</v>
      </c>
      <c r="K123" s="3" t="s">
        <v>732</v>
      </c>
      <c r="L123" s="3" t="s">
        <v>855</v>
      </c>
      <c r="M123" s="3">
        <v>1297.42</v>
      </c>
      <c r="N123" s="3">
        <v>2742.97</v>
      </c>
      <c r="O123" s="3">
        <v>6.9000000000000006E-2</v>
      </c>
      <c r="P123" s="3">
        <v>9</v>
      </c>
      <c r="Q123" s="3">
        <v>22983.34563</v>
      </c>
      <c r="R123" s="3">
        <f t="shared" si="5"/>
        <v>11676.78</v>
      </c>
      <c r="S123" s="3">
        <v>11306.565629999999</v>
      </c>
      <c r="T123" s="3">
        <f t="shared" si="6"/>
        <v>0.49194602961727291</v>
      </c>
      <c r="U123" s="3" t="str">
        <f t="shared" si="7"/>
        <v>Nov-2023</v>
      </c>
      <c r="AB123" s="3">
        <f t="shared" si="8"/>
        <v>11676.78</v>
      </c>
      <c r="AC123" s="3">
        <f t="shared" si="9"/>
        <v>22983.34563</v>
      </c>
    </row>
    <row r="124" spans="1:29" x14ac:dyDescent="0.35">
      <c r="A124" s="3" t="s">
        <v>137</v>
      </c>
      <c r="B124" s="4">
        <v>45289</v>
      </c>
      <c r="C124" s="4">
        <v>45311</v>
      </c>
      <c r="D124" s="5">
        <v>22</v>
      </c>
      <c r="E124" s="3" t="s">
        <v>646</v>
      </c>
      <c r="F124" s="3" t="s">
        <v>650</v>
      </c>
      <c r="G124" s="3" t="s">
        <v>662</v>
      </c>
      <c r="H124" s="3" t="s">
        <v>701</v>
      </c>
      <c r="I124" s="3" t="s">
        <v>711</v>
      </c>
      <c r="J124" s="3" t="s">
        <v>716</v>
      </c>
      <c r="K124" s="3" t="s">
        <v>730</v>
      </c>
      <c r="L124" s="3" t="s">
        <v>856</v>
      </c>
      <c r="M124" s="3">
        <v>1395.49</v>
      </c>
      <c r="N124" s="3">
        <v>1679.42</v>
      </c>
      <c r="O124" s="3">
        <v>0.20300000000000001</v>
      </c>
      <c r="P124" s="3">
        <v>12</v>
      </c>
      <c r="Q124" s="3">
        <v>16061.972879999999</v>
      </c>
      <c r="R124" s="3">
        <f t="shared" si="5"/>
        <v>16745.88</v>
      </c>
      <c r="S124" s="3">
        <v>683.90712000000167</v>
      </c>
      <c r="T124" s="3">
        <f t="shared" si="6"/>
        <v>4.2579272490964493E-2</v>
      </c>
      <c r="U124" s="3" t="str">
        <f t="shared" si="7"/>
        <v>Dec-2023</v>
      </c>
      <c r="AB124" s="3">
        <f t="shared" si="8"/>
        <v>16745.88</v>
      </c>
      <c r="AC124" s="3">
        <f t="shared" si="9"/>
        <v>16122.432000000001</v>
      </c>
    </row>
    <row r="125" spans="1:29" x14ac:dyDescent="0.35">
      <c r="A125" s="3" t="s">
        <v>138</v>
      </c>
      <c r="B125" s="4">
        <v>45598</v>
      </c>
      <c r="C125" s="4">
        <v>45625</v>
      </c>
      <c r="D125" s="5">
        <v>27</v>
      </c>
      <c r="E125" s="3" t="s">
        <v>648</v>
      </c>
      <c r="F125" s="3" t="s">
        <v>655</v>
      </c>
      <c r="G125" s="3" t="s">
        <v>672</v>
      </c>
      <c r="H125" s="3" t="s">
        <v>705</v>
      </c>
      <c r="I125" s="3" t="s">
        <v>711</v>
      </c>
      <c r="J125" s="3" t="s">
        <v>714</v>
      </c>
      <c r="K125" s="3" t="s">
        <v>729</v>
      </c>
      <c r="L125" s="3" t="s">
        <v>857</v>
      </c>
      <c r="M125" s="3">
        <v>1363.51</v>
      </c>
      <c r="N125" s="3">
        <v>1433.9</v>
      </c>
      <c r="O125" s="3">
        <v>5.7000000000000002E-2</v>
      </c>
      <c r="P125" s="3">
        <v>8</v>
      </c>
      <c r="Q125" s="3">
        <v>10817.3416</v>
      </c>
      <c r="R125" s="3">
        <f t="shared" si="5"/>
        <v>10908.08</v>
      </c>
      <c r="S125" s="3">
        <v>90.738400000000183</v>
      </c>
      <c r="T125" s="3">
        <f t="shared" si="6"/>
        <v>8.3882346842037592E-3</v>
      </c>
      <c r="U125" s="3" t="str">
        <f t="shared" si="7"/>
        <v>Nov-2024</v>
      </c>
      <c r="AB125" s="3">
        <f t="shared" si="8"/>
        <v>10908.08</v>
      </c>
      <c r="AC125" s="3">
        <f t="shared" si="9"/>
        <v>10817.3416</v>
      </c>
    </row>
    <row r="126" spans="1:29" x14ac:dyDescent="0.35">
      <c r="A126" s="3" t="s">
        <v>139</v>
      </c>
      <c r="B126" s="4">
        <v>45159</v>
      </c>
      <c r="C126" s="4">
        <v>45173</v>
      </c>
      <c r="D126" s="5">
        <v>14</v>
      </c>
      <c r="E126" s="3" t="s">
        <v>648</v>
      </c>
      <c r="F126" s="3" t="s">
        <v>653</v>
      </c>
      <c r="G126" s="3" t="s">
        <v>681</v>
      </c>
      <c r="H126" s="3" t="s">
        <v>702</v>
      </c>
      <c r="I126" s="3" t="s">
        <v>710</v>
      </c>
      <c r="J126" s="3" t="s">
        <v>721</v>
      </c>
      <c r="K126" s="3" t="s">
        <v>727</v>
      </c>
      <c r="L126" s="3" t="s">
        <v>858</v>
      </c>
      <c r="M126" s="3">
        <v>178.19</v>
      </c>
      <c r="N126" s="3">
        <v>284.43</v>
      </c>
      <c r="O126" s="3">
        <v>8.8999999999999996E-2</v>
      </c>
      <c r="P126" s="3">
        <v>8</v>
      </c>
      <c r="Q126" s="3">
        <v>2072.9258400000003</v>
      </c>
      <c r="R126" s="3">
        <f t="shared" si="5"/>
        <v>1425.52</v>
      </c>
      <c r="S126" s="3">
        <v>647.40584000000035</v>
      </c>
      <c r="T126" s="3">
        <f t="shared" si="6"/>
        <v>0.31231500302972742</v>
      </c>
      <c r="U126" s="3" t="str">
        <f t="shared" si="7"/>
        <v>Aug-2023</v>
      </c>
      <c r="AB126" s="3">
        <f t="shared" si="8"/>
        <v>1425.52</v>
      </c>
      <c r="AC126" s="3">
        <f t="shared" si="9"/>
        <v>2072.9258400000003</v>
      </c>
    </row>
    <row r="127" spans="1:29" x14ac:dyDescent="0.35">
      <c r="A127" s="3" t="s">
        <v>140</v>
      </c>
      <c r="B127" s="4">
        <v>45150</v>
      </c>
      <c r="C127" s="4">
        <v>45175</v>
      </c>
      <c r="D127" s="5">
        <v>25</v>
      </c>
      <c r="E127" s="3" t="s">
        <v>647</v>
      </c>
      <c r="F127" s="3" t="s">
        <v>659</v>
      </c>
      <c r="G127" s="3" t="s">
        <v>685</v>
      </c>
      <c r="H127" s="3" t="s">
        <v>705</v>
      </c>
      <c r="I127" s="3" t="s">
        <v>707</v>
      </c>
      <c r="J127" s="3" t="s">
        <v>717</v>
      </c>
      <c r="K127" s="3" t="s">
        <v>727</v>
      </c>
      <c r="L127" s="3" t="s">
        <v>859</v>
      </c>
      <c r="M127" s="3">
        <v>950.77</v>
      </c>
      <c r="N127" s="3">
        <v>694.78</v>
      </c>
      <c r="O127" s="3">
        <v>8.4000000000000005E-2</v>
      </c>
      <c r="P127" s="3">
        <v>14</v>
      </c>
      <c r="Q127" s="3">
        <v>8909.8587200000002</v>
      </c>
      <c r="R127" s="3">
        <f t="shared" si="5"/>
        <v>13310.779999999999</v>
      </c>
      <c r="S127" s="3">
        <v>4400.9212799999987</v>
      </c>
      <c r="T127" s="3">
        <f t="shared" si="6"/>
        <v>0.49393839097821279</v>
      </c>
      <c r="U127" s="3" t="str">
        <f t="shared" si="7"/>
        <v>Aug-2023</v>
      </c>
      <c r="AB127" s="3">
        <f t="shared" si="8"/>
        <v>13310.779999999999</v>
      </c>
      <c r="AC127" s="3">
        <f t="shared" si="9"/>
        <v>8909.8587200000002</v>
      </c>
    </row>
    <row r="128" spans="1:29" x14ac:dyDescent="0.35">
      <c r="A128" s="3" t="s">
        <v>141</v>
      </c>
      <c r="B128" s="4">
        <v>45450</v>
      </c>
      <c r="C128" s="4">
        <v>45469</v>
      </c>
      <c r="D128" s="5">
        <v>19</v>
      </c>
      <c r="E128" s="3" t="s">
        <v>649</v>
      </c>
      <c r="F128" s="3" t="s">
        <v>656</v>
      </c>
      <c r="G128" s="3" t="s">
        <v>671</v>
      </c>
      <c r="H128" s="3" t="s">
        <v>703</v>
      </c>
      <c r="I128" s="3" t="s">
        <v>709</v>
      </c>
      <c r="J128" s="3" t="s">
        <v>724</v>
      </c>
      <c r="K128" s="3" t="s">
        <v>727</v>
      </c>
      <c r="L128" s="3" t="s">
        <v>860</v>
      </c>
      <c r="M128" s="3">
        <v>1064.32</v>
      </c>
      <c r="N128" s="3">
        <v>1848.39</v>
      </c>
      <c r="O128" s="3">
        <v>7.2999999999999995E-2</v>
      </c>
      <c r="P128" s="3">
        <v>38</v>
      </c>
      <c r="Q128" s="3">
        <v>65111.38614000001</v>
      </c>
      <c r="R128" s="3">
        <f t="shared" si="5"/>
        <v>40444.159999999996</v>
      </c>
      <c r="S128" s="3">
        <v>24667.226140000013</v>
      </c>
      <c r="T128" s="3">
        <f t="shared" si="6"/>
        <v>0.3788465827921631</v>
      </c>
      <c r="U128" s="3" t="str">
        <f t="shared" si="7"/>
        <v>Jun-2024</v>
      </c>
      <c r="AB128" s="3">
        <f t="shared" si="8"/>
        <v>40444.159999999996</v>
      </c>
      <c r="AC128" s="3">
        <f t="shared" si="9"/>
        <v>65111.38614000001</v>
      </c>
    </row>
    <row r="129" spans="1:29" x14ac:dyDescent="0.35">
      <c r="A129" s="3" t="s">
        <v>142</v>
      </c>
      <c r="B129" s="4">
        <v>45874</v>
      </c>
      <c r="C129" s="4">
        <v>45883</v>
      </c>
      <c r="D129" s="5">
        <v>9</v>
      </c>
      <c r="E129" s="3" t="s">
        <v>649</v>
      </c>
      <c r="F129" s="3" t="s">
        <v>658</v>
      </c>
      <c r="G129" s="3" t="s">
        <v>683</v>
      </c>
      <c r="H129" s="3" t="s">
        <v>703</v>
      </c>
      <c r="I129" s="3" t="s">
        <v>711</v>
      </c>
      <c r="J129" s="3" t="s">
        <v>718</v>
      </c>
      <c r="K129" s="3" t="s">
        <v>727</v>
      </c>
      <c r="L129" s="3" t="s">
        <v>861</v>
      </c>
      <c r="M129" s="3">
        <v>41.76</v>
      </c>
      <c r="N129" s="3">
        <v>45.19</v>
      </c>
      <c r="O129" s="3">
        <v>0.17899999999999999</v>
      </c>
      <c r="P129" s="3">
        <v>23</v>
      </c>
      <c r="Q129" s="3">
        <v>853.32276999999988</v>
      </c>
      <c r="R129" s="3">
        <f t="shared" si="5"/>
        <v>960.4799999999999</v>
      </c>
      <c r="S129" s="3">
        <v>107.15723000000003</v>
      </c>
      <c r="T129" s="3">
        <f t="shared" si="6"/>
        <v>0.12557643340514638</v>
      </c>
      <c r="U129" s="3" t="str">
        <f t="shared" si="7"/>
        <v>Aug-2025</v>
      </c>
      <c r="AB129" s="3">
        <f t="shared" si="8"/>
        <v>960.4799999999999</v>
      </c>
      <c r="AC129" s="3">
        <f t="shared" si="9"/>
        <v>853.32276999999988</v>
      </c>
    </row>
    <row r="130" spans="1:29" x14ac:dyDescent="0.35">
      <c r="A130" s="3" t="s">
        <v>143</v>
      </c>
      <c r="B130" s="4">
        <v>45442</v>
      </c>
      <c r="C130" s="4">
        <v>45456</v>
      </c>
      <c r="D130" s="5">
        <v>14</v>
      </c>
      <c r="E130" s="3" t="s">
        <v>648</v>
      </c>
      <c r="F130" s="3" t="s">
        <v>660</v>
      </c>
      <c r="G130" s="3" t="s">
        <v>686</v>
      </c>
      <c r="H130" s="3" t="s">
        <v>705</v>
      </c>
      <c r="I130" s="3" t="s">
        <v>707</v>
      </c>
      <c r="J130" s="3" t="s">
        <v>721</v>
      </c>
      <c r="K130" s="3" t="s">
        <v>730</v>
      </c>
      <c r="L130" s="3" t="s">
        <v>862</v>
      </c>
      <c r="M130" s="3">
        <v>157.78</v>
      </c>
      <c r="N130" s="3">
        <v>361.1</v>
      </c>
      <c r="O130" s="3">
        <v>0.187</v>
      </c>
      <c r="P130" s="3">
        <v>9</v>
      </c>
      <c r="Q130" s="3">
        <v>2642.1686999999997</v>
      </c>
      <c r="R130" s="3">
        <f t="shared" si="5"/>
        <v>1420.02</v>
      </c>
      <c r="S130" s="3">
        <v>1222.1486999999997</v>
      </c>
      <c r="T130" s="3">
        <f t="shared" si="6"/>
        <v>0.46255513510549112</v>
      </c>
      <c r="U130" s="3" t="str">
        <f t="shared" si="7"/>
        <v>May-2024</v>
      </c>
      <c r="AB130" s="3">
        <f t="shared" si="8"/>
        <v>1420.02</v>
      </c>
      <c r="AC130" s="3">
        <f t="shared" si="9"/>
        <v>2642.1686999999997</v>
      </c>
    </row>
    <row r="131" spans="1:29" x14ac:dyDescent="0.35">
      <c r="A131" s="3" t="s">
        <v>144</v>
      </c>
      <c r="B131" s="4">
        <v>44948</v>
      </c>
      <c r="C131" s="4">
        <v>44956</v>
      </c>
      <c r="D131" s="5">
        <v>8</v>
      </c>
      <c r="E131" s="3" t="s">
        <v>648</v>
      </c>
      <c r="F131" s="3" t="s">
        <v>660</v>
      </c>
      <c r="G131" s="3" t="s">
        <v>686</v>
      </c>
      <c r="H131" s="3" t="s">
        <v>705</v>
      </c>
      <c r="I131" s="3" t="s">
        <v>708</v>
      </c>
      <c r="J131" s="3" t="s">
        <v>720</v>
      </c>
      <c r="K131" s="3" t="s">
        <v>729</v>
      </c>
      <c r="L131" s="3" t="s">
        <v>863</v>
      </c>
      <c r="M131" s="3">
        <v>413.52</v>
      </c>
      <c r="N131" s="3">
        <v>1004.34</v>
      </c>
      <c r="O131" s="3">
        <v>0.111</v>
      </c>
      <c r="P131" s="3">
        <v>18</v>
      </c>
      <c r="Q131" s="3">
        <v>16071.44868</v>
      </c>
      <c r="R131" s="3">
        <f t="shared" ref="R131:R194" si="10">M131*P131</f>
        <v>7443.36</v>
      </c>
      <c r="S131" s="3">
        <v>8628.0886800000007</v>
      </c>
      <c r="T131" s="3">
        <f t="shared" ref="T131:T194" si="11">IF(Q131=0,0,S131/Q131)</f>
        <v>0.53685817948304593</v>
      </c>
      <c r="U131" s="3" t="str">
        <f t="shared" ref="U131:U194" si="12">TEXT(B131, "mmm-yyyy")</f>
        <v>Jan-2023</v>
      </c>
      <c r="AB131" s="3">
        <f t="shared" ref="AB131:AB194" si="13">M131 * P131 * (1+ $AF$2)</f>
        <v>7443.36</v>
      </c>
      <c r="AC131" s="3">
        <f t="shared" ref="AC131:AC194" si="14">N131 * P131 * (1- MIN(O131, $AF$3))</f>
        <v>16071.44868</v>
      </c>
    </row>
    <row r="132" spans="1:29" x14ac:dyDescent="0.35">
      <c r="A132" s="3" t="s">
        <v>145</v>
      </c>
      <c r="B132" s="4">
        <v>45700</v>
      </c>
      <c r="C132" s="4">
        <v>45716</v>
      </c>
      <c r="D132" s="5">
        <v>16</v>
      </c>
      <c r="E132" s="3" t="s">
        <v>648</v>
      </c>
      <c r="F132" s="3" t="s">
        <v>655</v>
      </c>
      <c r="G132" s="3" t="s">
        <v>670</v>
      </c>
      <c r="H132" s="3" t="s">
        <v>703</v>
      </c>
      <c r="I132" s="3" t="s">
        <v>711</v>
      </c>
      <c r="J132" s="3" t="s">
        <v>717</v>
      </c>
      <c r="K132" s="3" t="s">
        <v>732</v>
      </c>
      <c r="L132" s="3" t="s">
        <v>864</v>
      </c>
      <c r="M132" s="3">
        <v>414.95</v>
      </c>
      <c r="N132" s="3">
        <v>1027.73</v>
      </c>
      <c r="O132" s="3">
        <v>6.3E-2</v>
      </c>
      <c r="P132" s="3">
        <v>8</v>
      </c>
      <c r="Q132" s="3">
        <v>7703.8640800000003</v>
      </c>
      <c r="R132" s="3">
        <f t="shared" si="10"/>
        <v>3319.6</v>
      </c>
      <c r="S132" s="3">
        <v>4384.2640800000008</v>
      </c>
      <c r="T132" s="3">
        <f t="shared" si="11"/>
        <v>0.56909935513815568</v>
      </c>
      <c r="U132" s="3" t="str">
        <f t="shared" si="12"/>
        <v>Feb-2025</v>
      </c>
      <c r="AB132" s="3">
        <f t="shared" si="13"/>
        <v>3319.6</v>
      </c>
      <c r="AC132" s="3">
        <f t="shared" si="14"/>
        <v>7703.8640800000003</v>
      </c>
    </row>
    <row r="133" spans="1:29" x14ac:dyDescent="0.35">
      <c r="A133" s="3" t="s">
        <v>146</v>
      </c>
      <c r="B133" s="4">
        <v>45719</v>
      </c>
      <c r="C133" s="4">
        <v>45740</v>
      </c>
      <c r="D133" s="5">
        <v>21</v>
      </c>
      <c r="E133" s="3" t="s">
        <v>646</v>
      </c>
      <c r="F133" s="3" t="s">
        <v>651</v>
      </c>
      <c r="G133" s="3" t="s">
        <v>669</v>
      </c>
      <c r="H133" s="3" t="s">
        <v>706</v>
      </c>
      <c r="I133" s="3" t="s">
        <v>711</v>
      </c>
      <c r="J133" s="3" t="s">
        <v>722</v>
      </c>
      <c r="K133" s="3" t="s">
        <v>733</v>
      </c>
      <c r="L133" s="3" t="s">
        <v>865</v>
      </c>
      <c r="M133" s="3">
        <v>555.95000000000005</v>
      </c>
      <c r="N133" s="3">
        <v>468.09</v>
      </c>
      <c r="O133" s="3">
        <v>0.14199999999999999</v>
      </c>
      <c r="P133" s="3">
        <v>11</v>
      </c>
      <c r="Q133" s="3">
        <v>4417.8334199999999</v>
      </c>
      <c r="R133" s="3">
        <f t="shared" si="10"/>
        <v>6115.4500000000007</v>
      </c>
      <c r="S133" s="3">
        <v>1697.6165800000008</v>
      </c>
      <c r="T133" s="3">
        <f t="shared" si="11"/>
        <v>0.38426450674095375</v>
      </c>
      <c r="U133" s="3" t="str">
        <f t="shared" si="12"/>
        <v>Mar-2025</v>
      </c>
      <c r="AB133" s="3">
        <f t="shared" si="13"/>
        <v>6115.4500000000007</v>
      </c>
      <c r="AC133" s="3">
        <f t="shared" si="14"/>
        <v>4417.8334199999999</v>
      </c>
    </row>
    <row r="134" spans="1:29" x14ac:dyDescent="0.35">
      <c r="A134" s="3" t="s">
        <v>147</v>
      </c>
      <c r="B134" s="4">
        <v>44953</v>
      </c>
      <c r="C134" s="4">
        <v>44957</v>
      </c>
      <c r="D134" s="5">
        <v>4</v>
      </c>
      <c r="E134" s="3" t="s">
        <v>649</v>
      </c>
      <c r="F134" s="3" t="s">
        <v>658</v>
      </c>
      <c r="G134" s="3" t="s">
        <v>693</v>
      </c>
      <c r="H134" s="3" t="s">
        <v>706</v>
      </c>
      <c r="I134" s="3" t="s">
        <v>708</v>
      </c>
      <c r="J134" s="3" t="s">
        <v>725</v>
      </c>
      <c r="K134" s="3" t="s">
        <v>731</v>
      </c>
      <c r="L134" s="3" t="s">
        <v>866</v>
      </c>
      <c r="M134" s="3">
        <v>941.2</v>
      </c>
      <c r="N134" s="3">
        <v>668.02</v>
      </c>
      <c r="O134" s="3">
        <v>0.22</v>
      </c>
      <c r="P134" s="3">
        <v>16</v>
      </c>
      <c r="Q134" s="3">
        <v>8336.8896000000004</v>
      </c>
      <c r="R134" s="3">
        <f t="shared" si="10"/>
        <v>15059.2</v>
      </c>
      <c r="S134" s="3">
        <v>6722.3104000000003</v>
      </c>
      <c r="T134" s="3">
        <f t="shared" si="11"/>
        <v>0.80633314371825193</v>
      </c>
      <c r="U134" s="3" t="str">
        <f t="shared" si="12"/>
        <v>Jan-2023</v>
      </c>
      <c r="AB134" s="3">
        <f t="shared" si="13"/>
        <v>15059.2</v>
      </c>
      <c r="AC134" s="3">
        <f t="shared" si="14"/>
        <v>8550.6560000000009</v>
      </c>
    </row>
    <row r="135" spans="1:29" x14ac:dyDescent="0.35">
      <c r="A135" s="3" t="s">
        <v>148</v>
      </c>
      <c r="B135" s="4">
        <v>45666</v>
      </c>
      <c r="C135" s="4">
        <v>45672</v>
      </c>
      <c r="D135" s="5">
        <v>6</v>
      </c>
      <c r="E135" s="3" t="s">
        <v>647</v>
      </c>
      <c r="F135" s="3" t="s">
        <v>659</v>
      </c>
      <c r="G135" s="3" t="s">
        <v>699</v>
      </c>
      <c r="H135" s="3" t="s">
        <v>702</v>
      </c>
      <c r="I135" s="3" t="s">
        <v>708</v>
      </c>
      <c r="J135" s="3" t="s">
        <v>712</v>
      </c>
      <c r="K135" s="3" t="s">
        <v>730</v>
      </c>
      <c r="L135" s="3" t="s">
        <v>867</v>
      </c>
      <c r="M135" s="3">
        <v>304.77999999999997</v>
      </c>
      <c r="N135" s="3">
        <v>537.27</v>
      </c>
      <c r="O135" s="3">
        <v>0.187</v>
      </c>
      <c r="P135" s="3">
        <v>8</v>
      </c>
      <c r="Q135" s="3">
        <v>3494.4040799999998</v>
      </c>
      <c r="R135" s="3">
        <f t="shared" si="10"/>
        <v>2438.2399999999998</v>
      </c>
      <c r="S135" s="3">
        <v>1056.16408</v>
      </c>
      <c r="T135" s="3">
        <f t="shared" si="11"/>
        <v>0.3022444044307549</v>
      </c>
      <c r="U135" s="3" t="str">
        <f t="shared" si="12"/>
        <v>Jan-2025</v>
      </c>
      <c r="AB135" s="3">
        <f t="shared" si="13"/>
        <v>2438.2399999999998</v>
      </c>
      <c r="AC135" s="3">
        <f t="shared" si="14"/>
        <v>3494.4040799999998</v>
      </c>
    </row>
    <row r="136" spans="1:29" x14ac:dyDescent="0.35">
      <c r="A136" s="3" t="s">
        <v>149</v>
      </c>
      <c r="B136" s="4">
        <v>45647</v>
      </c>
      <c r="C136" s="4">
        <v>45652</v>
      </c>
      <c r="D136" s="5">
        <v>5</v>
      </c>
      <c r="E136" s="3" t="s">
        <v>648</v>
      </c>
      <c r="F136" s="3" t="s">
        <v>660</v>
      </c>
      <c r="G136" s="3" t="s">
        <v>686</v>
      </c>
      <c r="H136" s="3" t="s">
        <v>704</v>
      </c>
      <c r="I136" s="3" t="s">
        <v>709</v>
      </c>
      <c r="J136" s="3" t="s">
        <v>724</v>
      </c>
      <c r="K136" s="3" t="s">
        <v>728</v>
      </c>
      <c r="L136" s="3" t="s">
        <v>868</v>
      </c>
      <c r="M136" s="3">
        <v>699.57</v>
      </c>
      <c r="N136" s="3">
        <v>572.71</v>
      </c>
      <c r="O136" s="3">
        <v>0.192</v>
      </c>
      <c r="P136" s="3">
        <v>26</v>
      </c>
      <c r="Q136" s="3">
        <v>12031.491680000001</v>
      </c>
      <c r="R136" s="3">
        <f t="shared" si="10"/>
        <v>18188.82</v>
      </c>
      <c r="S136" s="3">
        <v>6157.3283199999987</v>
      </c>
      <c r="T136" s="3">
        <f t="shared" si="11"/>
        <v>0.51176765805651114</v>
      </c>
      <c r="U136" s="3" t="str">
        <f t="shared" si="12"/>
        <v>Dec-2024</v>
      </c>
      <c r="AB136" s="3">
        <f t="shared" si="13"/>
        <v>18188.82</v>
      </c>
      <c r="AC136" s="3">
        <f t="shared" si="14"/>
        <v>12031.491680000001</v>
      </c>
    </row>
    <row r="137" spans="1:29" x14ac:dyDescent="0.35">
      <c r="A137" s="3" t="s">
        <v>150</v>
      </c>
      <c r="B137" s="4">
        <v>45028</v>
      </c>
      <c r="C137" s="4">
        <v>45033</v>
      </c>
      <c r="D137" s="5">
        <v>5</v>
      </c>
      <c r="E137" s="3" t="s">
        <v>649</v>
      </c>
      <c r="F137" s="3" t="s">
        <v>657</v>
      </c>
      <c r="G137" s="3" t="s">
        <v>679</v>
      </c>
      <c r="H137" s="3" t="s">
        <v>706</v>
      </c>
      <c r="I137" s="3" t="s">
        <v>711</v>
      </c>
      <c r="J137" s="3" t="s">
        <v>718</v>
      </c>
      <c r="K137" s="3" t="s">
        <v>732</v>
      </c>
      <c r="L137" s="3" t="s">
        <v>869</v>
      </c>
      <c r="M137" s="3">
        <v>1087.81</v>
      </c>
      <c r="N137" s="3">
        <v>2323.87</v>
      </c>
      <c r="O137" s="3">
        <v>9.4E-2</v>
      </c>
      <c r="P137" s="3">
        <v>13</v>
      </c>
      <c r="Q137" s="3">
        <v>27370.540859999997</v>
      </c>
      <c r="R137" s="3">
        <f t="shared" si="10"/>
        <v>14141.529999999999</v>
      </c>
      <c r="S137" s="3">
        <v>13229.010859999999</v>
      </c>
      <c r="T137" s="3">
        <f t="shared" si="11"/>
        <v>0.48333026839572651</v>
      </c>
      <c r="U137" s="3" t="str">
        <f t="shared" si="12"/>
        <v>Apr-2023</v>
      </c>
      <c r="AB137" s="3">
        <f t="shared" si="13"/>
        <v>14141.529999999999</v>
      </c>
      <c r="AC137" s="3">
        <f t="shared" si="14"/>
        <v>27370.540859999997</v>
      </c>
    </row>
    <row r="138" spans="1:29" x14ac:dyDescent="0.35">
      <c r="A138" s="3" t="s">
        <v>151</v>
      </c>
      <c r="B138" s="4">
        <v>45640</v>
      </c>
      <c r="C138" s="4">
        <v>45669</v>
      </c>
      <c r="D138" s="5">
        <v>29</v>
      </c>
      <c r="E138" s="3" t="s">
        <v>647</v>
      </c>
      <c r="F138" s="3" t="s">
        <v>659</v>
      </c>
      <c r="G138" s="3" t="s">
        <v>676</v>
      </c>
      <c r="H138" s="3" t="s">
        <v>702</v>
      </c>
      <c r="I138" s="3" t="s">
        <v>708</v>
      </c>
      <c r="J138" s="3" t="s">
        <v>713</v>
      </c>
      <c r="K138" s="3" t="s">
        <v>727</v>
      </c>
      <c r="L138" s="3" t="s">
        <v>870</v>
      </c>
      <c r="M138" s="3">
        <v>1412.15</v>
      </c>
      <c r="N138" s="3">
        <v>1631.04</v>
      </c>
      <c r="O138" s="3">
        <v>8.9999999999999993E-3</v>
      </c>
      <c r="P138" s="3">
        <v>6</v>
      </c>
      <c r="Q138" s="3">
        <v>9698.1638399999993</v>
      </c>
      <c r="R138" s="3">
        <f t="shared" si="10"/>
        <v>8472.9000000000015</v>
      </c>
      <c r="S138" s="3">
        <v>1225.2638399999978</v>
      </c>
      <c r="T138" s="3">
        <f t="shared" si="11"/>
        <v>0.12633977526203535</v>
      </c>
      <c r="U138" s="3" t="str">
        <f t="shared" si="12"/>
        <v>Dec-2024</v>
      </c>
      <c r="AB138" s="3">
        <f t="shared" si="13"/>
        <v>8472.9000000000015</v>
      </c>
      <c r="AC138" s="3">
        <f t="shared" si="14"/>
        <v>9698.1638399999993</v>
      </c>
    </row>
    <row r="139" spans="1:29" x14ac:dyDescent="0.35">
      <c r="A139" s="3" t="s">
        <v>152</v>
      </c>
      <c r="B139" s="4">
        <v>45016</v>
      </c>
      <c r="C139" s="4">
        <v>45028</v>
      </c>
      <c r="D139" s="5">
        <v>12</v>
      </c>
      <c r="E139" s="3" t="s">
        <v>646</v>
      </c>
      <c r="F139" s="3" t="s">
        <v>650</v>
      </c>
      <c r="G139" s="3" t="s">
        <v>675</v>
      </c>
      <c r="H139" s="3" t="s">
        <v>705</v>
      </c>
      <c r="I139" s="3" t="s">
        <v>708</v>
      </c>
      <c r="J139" s="3" t="s">
        <v>712</v>
      </c>
      <c r="K139" s="3" t="s">
        <v>730</v>
      </c>
      <c r="L139" s="3" t="s">
        <v>871</v>
      </c>
      <c r="M139" s="3">
        <v>304.22000000000003</v>
      </c>
      <c r="N139" s="3">
        <v>393.31</v>
      </c>
      <c r="O139" s="3">
        <v>0.26500000000000001</v>
      </c>
      <c r="P139" s="3">
        <v>15</v>
      </c>
      <c r="Q139" s="3">
        <v>4336.2427499999994</v>
      </c>
      <c r="R139" s="3">
        <f t="shared" si="10"/>
        <v>4563.3</v>
      </c>
      <c r="S139" s="3">
        <v>227.05725000000075</v>
      </c>
      <c r="T139" s="3">
        <f t="shared" si="11"/>
        <v>5.2362670424759034E-2</v>
      </c>
      <c r="U139" s="3" t="str">
        <f t="shared" si="12"/>
        <v>Mar-2023</v>
      </c>
      <c r="AB139" s="3">
        <f t="shared" si="13"/>
        <v>4563.3</v>
      </c>
      <c r="AC139" s="3">
        <f t="shared" si="14"/>
        <v>4719.72</v>
      </c>
    </row>
    <row r="140" spans="1:29" x14ac:dyDescent="0.35">
      <c r="A140" s="3" t="s">
        <v>153</v>
      </c>
      <c r="B140" s="4">
        <v>45616</v>
      </c>
      <c r="C140" s="4">
        <v>45641</v>
      </c>
      <c r="D140" s="5">
        <v>25</v>
      </c>
      <c r="E140" s="3" t="s">
        <v>649</v>
      </c>
      <c r="F140" s="3" t="s">
        <v>657</v>
      </c>
      <c r="G140" s="3" t="s">
        <v>690</v>
      </c>
      <c r="H140" s="3" t="s">
        <v>701</v>
      </c>
      <c r="I140" s="3" t="s">
        <v>708</v>
      </c>
      <c r="J140" s="3" t="s">
        <v>715</v>
      </c>
      <c r="K140" s="3" t="s">
        <v>728</v>
      </c>
      <c r="L140" s="3" t="s">
        <v>872</v>
      </c>
      <c r="M140" s="3">
        <v>1203.58</v>
      </c>
      <c r="N140" s="3">
        <v>1856.16</v>
      </c>
      <c r="O140" s="3">
        <v>0.129</v>
      </c>
      <c r="P140" s="3">
        <v>22</v>
      </c>
      <c r="Q140" s="3">
        <v>35567.737920000007</v>
      </c>
      <c r="R140" s="3">
        <f t="shared" si="10"/>
        <v>26478.76</v>
      </c>
      <c r="S140" s="3">
        <v>9088.9779200000085</v>
      </c>
      <c r="T140" s="3">
        <f t="shared" si="11"/>
        <v>0.25553994860295032</v>
      </c>
      <c r="U140" s="3" t="str">
        <f t="shared" si="12"/>
        <v>Nov-2024</v>
      </c>
      <c r="AB140" s="3">
        <f t="shared" si="13"/>
        <v>26478.76</v>
      </c>
      <c r="AC140" s="3">
        <f t="shared" si="14"/>
        <v>35567.737920000007</v>
      </c>
    </row>
    <row r="141" spans="1:29" x14ac:dyDescent="0.35">
      <c r="A141" s="3" t="s">
        <v>154</v>
      </c>
      <c r="B141" s="4">
        <v>45336</v>
      </c>
      <c r="C141" s="4">
        <v>45336</v>
      </c>
      <c r="D141" s="5">
        <v>0</v>
      </c>
      <c r="E141" s="3" t="s">
        <v>647</v>
      </c>
      <c r="F141" s="3" t="s">
        <v>659</v>
      </c>
      <c r="G141" s="3" t="s">
        <v>699</v>
      </c>
      <c r="H141" s="3" t="s">
        <v>701</v>
      </c>
      <c r="I141" s="3" t="s">
        <v>710</v>
      </c>
      <c r="J141" s="3" t="s">
        <v>716</v>
      </c>
      <c r="K141" s="3" t="s">
        <v>733</v>
      </c>
      <c r="L141" s="3" t="s">
        <v>873</v>
      </c>
      <c r="M141" s="3">
        <v>65.930000000000007</v>
      </c>
      <c r="N141" s="3">
        <v>84.9</v>
      </c>
      <c r="O141" s="3">
        <v>0.25900000000000001</v>
      </c>
      <c r="P141" s="3">
        <v>23</v>
      </c>
      <c r="Q141" s="3">
        <v>1446.9507000000001</v>
      </c>
      <c r="R141" s="3">
        <f t="shared" si="10"/>
        <v>1516.39</v>
      </c>
      <c r="S141" s="3">
        <v>69.439300000000003</v>
      </c>
      <c r="T141" s="3">
        <f t="shared" si="11"/>
        <v>4.7990093926489688E-2</v>
      </c>
      <c r="U141" s="3" t="str">
        <f t="shared" si="12"/>
        <v>Feb-2024</v>
      </c>
      <c r="AB141" s="3">
        <f t="shared" si="13"/>
        <v>1516.39</v>
      </c>
      <c r="AC141" s="3">
        <f t="shared" si="14"/>
        <v>1562.16</v>
      </c>
    </row>
    <row r="142" spans="1:29" x14ac:dyDescent="0.35">
      <c r="A142" s="3" t="s">
        <v>155</v>
      </c>
      <c r="B142" s="4">
        <v>45048</v>
      </c>
      <c r="C142" s="4">
        <v>45064</v>
      </c>
      <c r="D142" s="5">
        <v>16</v>
      </c>
      <c r="E142" s="3" t="s">
        <v>647</v>
      </c>
      <c r="F142" s="3" t="s">
        <v>654</v>
      </c>
      <c r="G142" s="3" t="s">
        <v>680</v>
      </c>
      <c r="H142" s="3" t="s">
        <v>705</v>
      </c>
      <c r="I142" s="3" t="s">
        <v>709</v>
      </c>
      <c r="J142" s="3" t="s">
        <v>723</v>
      </c>
      <c r="K142" s="3" t="s">
        <v>732</v>
      </c>
      <c r="L142" s="3" t="s">
        <v>874</v>
      </c>
      <c r="M142" s="3">
        <v>1463.92</v>
      </c>
      <c r="N142" s="3">
        <v>2252.2399999999998</v>
      </c>
      <c r="O142" s="3">
        <v>0.11799999999999999</v>
      </c>
      <c r="P142" s="3">
        <v>44</v>
      </c>
      <c r="Q142" s="3">
        <v>87404.929919999995</v>
      </c>
      <c r="R142" s="3">
        <f t="shared" si="10"/>
        <v>64412.480000000003</v>
      </c>
      <c r="S142" s="3">
        <v>22992.449919999992</v>
      </c>
      <c r="T142" s="3">
        <f t="shared" si="11"/>
        <v>0.26305667130040061</v>
      </c>
      <c r="U142" s="3" t="str">
        <f t="shared" si="12"/>
        <v>May-2023</v>
      </c>
      <c r="AB142" s="3">
        <f t="shared" si="13"/>
        <v>64412.480000000003</v>
      </c>
      <c r="AC142" s="3">
        <f t="shared" si="14"/>
        <v>87404.929919999995</v>
      </c>
    </row>
    <row r="143" spans="1:29" x14ac:dyDescent="0.35">
      <c r="A143" s="3" t="s">
        <v>156</v>
      </c>
      <c r="B143" s="4">
        <v>45649</v>
      </c>
      <c r="C143" s="4">
        <v>45668</v>
      </c>
      <c r="D143" s="5">
        <v>19</v>
      </c>
      <c r="E143" s="3" t="s">
        <v>649</v>
      </c>
      <c r="F143" s="3" t="s">
        <v>656</v>
      </c>
      <c r="G143" s="3" t="s">
        <v>671</v>
      </c>
      <c r="H143" s="3" t="s">
        <v>702</v>
      </c>
      <c r="I143" s="3" t="s">
        <v>707</v>
      </c>
      <c r="J143" s="3" t="s">
        <v>723</v>
      </c>
      <c r="K143" s="3" t="s">
        <v>730</v>
      </c>
      <c r="L143" s="3" t="s">
        <v>875</v>
      </c>
      <c r="M143" s="3">
        <v>501.81</v>
      </c>
      <c r="N143" s="3">
        <v>921.62</v>
      </c>
      <c r="O143" s="3">
        <v>0.01</v>
      </c>
      <c r="P143" s="3">
        <v>9</v>
      </c>
      <c r="Q143" s="3">
        <v>8211.6342000000004</v>
      </c>
      <c r="R143" s="3">
        <f t="shared" si="10"/>
        <v>4516.29</v>
      </c>
      <c r="S143" s="3">
        <v>3695.3442000000005</v>
      </c>
      <c r="T143" s="3">
        <f t="shared" si="11"/>
        <v>0.45001325071202031</v>
      </c>
      <c r="U143" s="3" t="str">
        <f t="shared" si="12"/>
        <v>Dec-2024</v>
      </c>
      <c r="AB143" s="3">
        <f t="shared" si="13"/>
        <v>4516.29</v>
      </c>
      <c r="AC143" s="3">
        <f t="shared" si="14"/>
        <v>8211.6342000000004</v>
      </c>
    </row>
    <row r="144" spans="1:29" x14ac:dyDescent="0.35">
      <c r="A144" s="3" t="s">
        <v>157</v>
      </c>
      <c r="B144" s="4">
        <v>45133</v>
      </c>
      <c r="C144" s="4">
        <v>45163</v>
      </c>
      <c r="D144" s="5">
        <v>30</v>
      </c>
      <c r="E144" s="3" t="s">
        <v>648</v>
      </c>
      <c r="F144" s="3" t="s">
        <v>660</v>
      </c>
      <c r="G144" s="3" t="s">
        <v>700</v>
      </c>
      <c r="H144" s="3" t="s">
        <v>704</v>
      </c>
      <c r="I144" s="3" t="s">
        <v>707</v>
      </c>
      <c r="J144" s="3" t="s">
        <v>724</v>
      </c>
      <c r="K144" s="3" t="s">
        <v>733</v>
      </c>
      <c r="L144" s="3" t="s">
        <v>876</v>
      </c>
      <c r="M144" s="3">
        <v>1261.48</v>
      </c>
      <c r="N144" s="3">
        <v>1643.18</v>
      </c>
      <c r="O144" s="3">
        <v>0.151</v>
      </c>
      <c r="P144" s="3">
        <v>23</v>
      </c>
      <c r="Q144" s="3">
        <v>32086.37586</v>
      </c>
      <c r="R144" s="3">
        <f t="shared" si="10"/>
        <v>29014.04</v>
      </c>
      <c r="S144" s="3">
        <v>3072.3358599999992</v>
      </c>
      <c r="T144" s="3">
        <f t="shared" si="11"/>
        <v>9.5752037357079045E-2</v>
      </c>
      <c r="U144" s="3" t="str">
        <f t="shared" si="12"/>
        <v>Jul-2023</v>
      </c>
      <c r="AB144" s="3">
        <f t="shared" si="13"/>
        <v>29014.04</v>
      </c>
      <c r="AC144" s="3">
        <f t="shared" si="14"/>
        <v>32086.37586</v>
      </c>
    </row>
    <row r="145" spans="1:29" x14ac:dyDescent="0.35">
      <c r="A145" s="3" t="s">
        <v>158</v>
      </c>
      <c r="B145" s="4">
        <v>45458</v>
      </c>
      <c r="C145" s="4">
        <v>45479</v>
      </c>
      <c r="D145" s="5">
        <v>21</v>
      </c>
      <c r="E145" s="3" t="s">
        <v>648</v>
      </c>
      <c r="F145" s="3" t="s">
        <v>653</v>
      </c>
      <c r="G145" s="3" t="s">
        <v>667</v>
      </c>
      <c r="H145" s="3" t="s">
        <v>706</v>
      </c>
      <c r="I145" s="3" t="s">
        <v>710</v>
      </c>
      <c r="J145" s="3" t="s">
        <v>716</v>
      </c>
      <c r="K145" s="3" t="s">
        <v>728</v>
      </c>
      <c r="L145" s="3" t="s">
        <v>877</v>
      </c>
      <c r="M145" s="3">
        <v>817.23</v>
      </c>
      <c r="N145" s="3">
        <v>1467.17</v>
      </c>
      <c r="O145" s="3">
        <v>0.245</v>
      </c>
      <c r="P145" s="3">
        <v>9</v>
      </c>
      <c r="Q145" s="3">
        <v>9969.4201499999999</v>
      </c>
      <c r="R145" s="3">
        <f t="shared" si="10"/>
        <v>7355.07</v>
      </c>
      <c r="S145" s="3">
        <v>2614.3501500000002</v>
      </c>
      <c r="T145" s="3">
        <f t="shared" si="11"/>
        <v>0.26223693160328893</v>
      </c>
      <c r="U145" s="3" t="str">
        <f t="shared" si="12"/>
        <v>Jun-2024</v>
      </c>
      <c r="AB145" s="3">
        <f t="shared" si="13"/>
        <v>7355.07</v>
      </c>
      <c r="AC145" s="3">
        <f t="shared" si="14"/>
        <v>10563.624000000002</v>
      </c>
    </row>
    <row r="146" spans="1:29" x14ac:dyDescent="0.35">
      <c r="A146" s="3" t="s">
        <v>159</v>
      </c>
      <c r="B146" s="4">
        <v>45112</v>
      </c>
      <c r="C146" s="4">
        <v>45121</v>
      </c>
      <c r="D146" s="5">
        <v>9</v>
      </c>
      <c r="E146" s="3" t="s">
        <v>648</v>
      </c>
      <c r="F146" s="3" t="s">
        <v>655</v>
      </c>
      <c r="G146" s="3" t="s">
        <v>672</v>
      </c>
      <c r="H146" s="3" t="s">
        <v>706</v>
      </c>
      <c r="I146" s="3" t="s">
        <v>711</v>
      </c>
      <c r="J146" s="3" t="s">
        <v>717</v>
      </c>
      <c r="K146" s="3" t="s">
        <v>729</v>
      </c>
      <c r="L146" s="3" t="s">
        <v>878</v>
      </c>
      <c r="M146" s="3">
        <v>578.85</v>
      </c>
      <c r="N146" s="3">
        <v>998.76</v>
      </c>
      <c r="O146" s="3">
        <v>8.2000000000000003E-2</v>
      </c>
      <c r="P146" s="3">
        <v>28</v>
      </c>
      <c r="Q146" s="3">
        <v>25672.127039999999</v>
      </c>
      <c r="R146" s="3">
        <f t="shared" si="10"/>
        <v>16207.800000000001</v>
      </c>
      <c r="S146" s="3">
        <v>9464.3270399999983</v>
      </c>
      <c r="T146" s="3">
        <f t="shared" si="11"/>
        <v>0.36866158480960831</v>
      </c>
      <c r="U146" s="3" t="str">
        <f t="shared" si="12"/>
        <v>Jul-2023</v>
      </c>
      <c r="AB146" s="3">
        <f t="shared" si="13"/>
        <v>16207.800000000001</v>
      </c>
      <c r="AC146" s="3">
        <f t="shared" si="14"/>
        <v>25672.127039999999</v>
      </c>
    </row>
    <row r="147" spans="1:29" x14ac:dyDescent="0.35">
      <c r="A147" s="3" t="s">
        <v>160</v>
      </c>
      <c r="B147" s="4">
        <v>45260</v>
      </c>
      <c r="C147" s="4">
        <v>45259</v>
      </c>
      <c r="D147" s="5">
        <v>1</v>
      </c>
      <c r="E147" s="3" t="s">
        <v>646</v>
      </c>
      <c r="F147" s="3" t="s">
        <v>661</v>
      </c>
      <c r="G147" s="3" t="s">
        <v>687</v>
      </c>
      <c r="H147" s="3" t="s">
        <v>705</v>
      </c>
      <c r="I147" s="3" t="s">
        <v>709</v>
      </c>
      <c r="J147" s="3" t="s">
        <v>718</v>
      </c>
      <c r="K147" s="3" t="s">
        <v>731</v>
      </c>
      <c r="L147" s="3" t="s">
        <v>879</v>
      </c>
      <c r="M147" s="3">
        <v>275.56</v>
      </c>
      <c r="N147" s="3">
        <v>630.72</v>
      </c>
      <c r="O147" s="3">
        <v>0.107</v>
      </c>
      <c r="P147" s="3">
        <v>23</v>
      </c>
      <c r="Q147" s="3">
        <v>12954.358080000002</v>
      </c>
      <c r="R147" s="3">
        <f t="shared" si="10"/>
        <v>6337.88</v>
      </c>
      <c r="S147" s="3">
        <v>6616.4780800000017</v>
      </c>
      <c r="T147" s="3">
        <f t="shared" si="11"/>
        <v>0.5107530638831933</v>
      </c>
      <c r="U147" s="3" t="str">
        <f t="shared" si="12"/>
        <v>Nov-2023</v>
      </c>
      <c r="AB147" s="3">
        <f t="shared" si="13"/>
        <v>6337.88</v>
      </c>
      <c r="AC147" s="3">
        <f t="shared" si="14"/>
        <v>12954.358080000002</v>
      </c>
    </row>
    <row r="148" spans="1:29" x14ac:dyDescent="0.35">
      <c r="A148" s="3" t="s">
        <v>161</v>
      </c>
      <c r="B148" s="4">
        <v>45911</v>
      </c>
      <c r="C148" s="4">
        <v>45928</v>
      </c>
      <c r="D148" s="5">
        <v>17</v>
      </c>
      <c r="E148" s="3" t="s">
        <v>646</v>
      </c>
      <c r="F148" s="3" t="s">
        <v>650</v>
      </c>
      <c r="G148" s="3" t="s">
        <v>664</v>
      </c>
      <c r="H148" s="3" t="s">
        <v>703</v>
      </c>
      <c r="I148" s="3" t="s">
        <v>710</v>
      </c>
      <c r="J148" s="3" t="s">
        <v>713</v>
      </c>
      <c r="K148" s="3" t="s">
        <v>731</v>
      </c>
      <c r="L148" s="3" t="s">
        <v>880</v>
      </c>
      <c r="M148" s="3">
        <v>891.46</v>
      </c>
      <c r="N148" s="3">
        <v>728.61</v>
      </c>
      <c r="O148" s="3">
        <v>0.185</v>
      </c>
      <c r="P148" s="3">
        <v>6</v>
      </c>
      <c r="Q148" s="3">
        <v>3562.9028999999996</v>
      </c>
      <c r="R148" s="3">
        <f t="shared" si="10"/>
        <v>5348.76</v>
      </c>
      <c r="S148" s="3">
        <v>1785.8571000000006</v>
      </c>
      <c r="T148" s="3">
        <f t="shared" si="11"/>
        <v>0.50123653383874167</v>
      </c>
      <c r="U148" s="3" t="str">
        <f t="shared" si="12"/>
        <v>Sep-2025</v>
      </c>
      <c r="AB148" s="3">
        <f t="shared" si="13"/>
        <v>5348.76</v>
      </c>
      <c r="AC148" s="3">
        <f t="shared" si="14"/>
        <v>3562.9028999999996</v>
      </c>
    </row>
    <row r="149" spans="1:29" x14ac:dyDescent="0.35">
      <c r="A149" s="3" t="s">
        <v>162</v>
      </c>
      <c r="B149" s="4">
        <v>45386</v>
      </c>
      <c r="C149" s="4">
        <v>45406</v>
      </c>
      <c r="D149" s="5">
        <v>20</v>
      </c>
      <c r="E149" s="3" t="s">
        <v>649</v>
      </c>
      <c r="F149" s="3" t="s">
        <v>656</v>
      </c>
      <c r="G149" s="3" t="s">
        <v>698</v>
      </c>
      <c r="H149" s="3" t="s">
        <v>703</v>
      </c>
      <c r="I149" s="3" t="s">
        <v>711</v>
      </c>
      <c r="J149" s="3" t="s">
        <v>719</v>
      </c>
      <c r="K149" s="3" t="s">
        <v>733</v>
      </c>
      <c r="L149" s="3" t="s">
        <v>881</v>
      </c>
      <c r="M149" s="3">
        <v>683.42</v>
      </c>
      <c r="N149" s="3">
        <v>951.51</v>
      </c>
      <c r="O149" s="3">
        <v>0</v>
      </c>
      <c r="P149" s="3">
        <v>14</v>
      </c>
      <c r="Q149" s="3">
        <v>13321.14</v>
      </c>
      <c r="R149" s="3">
        <f t="shared" si="10"/>
        <v>9567.8799999999992</v>
      </c>
      <c r="S149" s="3">
        <v>3753.26</v>
      </c>
      <c r="T149" s="3">
        <f t="shared" si="11"/>
        <v>0.28175216235247136</v>
      </c>
      <c r="U149" s="3" t="str">
        <f t="shared" si="12"/>
        <v>Apr-2024</v>
      </c>
      <c r="AB149" s="3">
        <f t="shared" si="13"/>
        <v>9567.8799999999992</v>
      </c>
      <c r="AC149" s="3">
        <f t="shared" si="14"/>
        <v>13321.14</v>
      </c>
    </row>
    <row r="150" spans="1:29" x14ac:dyDescent="0.35">
      <c r="A150" s="3" t="s">
        <v>163</v>
      </c>
      <c r="B150" s="4">
        <v>45183</v>
      </c>
      <c r="C150" s="4">
        <v>45185</v>
      </c>
      <c r="D150" s="5">
        <v>2</v>
      </c>
      <c r="E150" s="3" t="s">
        <v>649</v>
      </c>
      <c r="F150" s="3" t="s">
        <v>657</v>
      </c>
      <c r="G150" s="3" t="s">
        <v>679</v>
      </c>
      <c r="H150" s="3" t="s">
        <v>703</v>
      </c>
      <c r="I150" s="3" t="s">
        <v>711</v>
      </c>
      <c r="J150" s="3" t="s">
        <v>717</v>
      </c>
      <c r="K150" s="3" t="s">
        <v>728</v>
      </c>
      <c r="L150" s="3" t="s">
        <v>882</v>
      </c>
      <c r="M150" s="3">
        <v>376.83</v>
      </c>
      <c r="N150" s="3">
        <v>732.88</v>
      </c>
      <c r="O150" s="3">
        <v>0.188</v>
      </c>
      <c r="P150" s="3">
        <v>25</v>
      </c>
      <c r="Q150" s="3">
        <v>14877.464000000002</v>
      </c>
      <c r="R150" s="3">
        <f t="shared" si="10"/>
        <v>9420.75</v>
      </c>
      <c r="S150" s="3">
        <v>5456.7140000000018</v>
      </c>
      <c r="T150" s="3">
        <f t="shared" si="11"/>
        <v>0.36677716040852132</v>
      </c>
      <c r="U150" s="3" t="str">
        <f t="shared" si="12"/>
        <v>Sep-2023</v>
      </c>
      <c r="AB150" s="3">
        <f t="shared" si="13"/>
        <v>9420.75</v>
      </c>
      <c r="AC150" s="3">
        <f t="shared" si="14"/>
        <v>14877.464000000002</v>
      </c>
    </row>
    <row r="151" spans="1:29" x14ac:dyDescent="0.35">
      <c r="A151" s="3" t="s">
        <v>164</v>
      </c>
      <c r="B151" s="4">
        <v>45558</v>
      </c>
      <c r="C151" s="4">
        <v>45583</v>
      </c>
      <c r="D151" s="5">
        <v>25</v>
      </c>
      <c r="E151" s="3" t="s">
        <v>648</v>
      </c>
      <c r="F151" s="3" t="s">
        <v>653</v>
      </c>
      <c r="G151" s="3" t="s">
        <v>688</v>
      </c>
      <c r="H151" s="3" t="s">
        <v>705</v>
      </c>
      <c r="I151" s="3" t="s">
        <v>708</v>
      </c>
      <c r="J151" s="3" t="s">
        <v>725</v>
      </c>
      <c r="K151" s="3" t="s">
        <v>730</v>
      </c>
      <c r="L151" s="3" t="s">
        <v>883</v>
      </c>
      <c r="M151" s="3">
        <v>1297</v>
      </c>
      <c r="N151" s="3">
        <v>2411.52</v>
      </c>
      <c r="O151" s="3">
        <v>2.1000000000000001E-2</v>
      </c>
      <c r="P151" s="3">
        <v>18</v>
      </c>
      <c r="Q151" s="3">
        <v>42495.805439999996</v>
      </c>
      <c r="R151" s="3">
        <f t="shared" si="10"/>
        <v>23346</v>
      </c>
      <c r="S151" s="3">
        <v>19149.805439999996</v>
      </c>
      <c r="T151" s="3">
        <f t="shared" si="11"/>
        <v>0.45062813239385913</v>
      </c>
      <c r="U151" s="3" t="str">
        <f t="shared" si="12"/>
        <v>Sep-2024</v>
      </c>
      <c r="AB151" s="3">
        <f t="shared" si="13"/>
        <v>23346</v>
      </c>
      <c r="AC151" s="3">
        <f t="shared" si="14"/>
        <v>42495.805439999996</v>
      </c>
    </row>
    <row r="152" spans="1:29" x14ac:dyDescent="0.35">
      <c r="A152" s="3" t="s">
        <v>165</v>
      </c>
      <c r="B152" s="4">
        <v>45763</v>
      </c>
      <c r="C152" s="4">
        <v>45793</v>
      </c>
      <c r="D152" s="5">
        <v>30</v>
      </c>
      <c r="E152" s="3" t="s">
        <v>648</v>
      </c>
      <c r="F152" s="3" t="s">
        <v>653</v>
      </c>
      <c r="G152" s="3" t="s">
        <v>681</v>
      </c>
      <c r="H152" s="3" t="s">
        <v>706</v>
      </c>
      <c r="I152" s="3" t="s">
        <v>710</v>
      </c>
      <c r="J152" s="3" t="s">
        <v>723</v>
      </c>
      <c r="K152" s="3" t="s">
        <v>728</v>
      </c>
      <c r="L152" s="3" t="s">
        <v>884</v>
      </c>
      <c r="M152" s="3">
        <v>763.32</v>
      </c>
      <c r="N152" s="3">
        <v>568.29</v>
      </c>
      <c r="O152" s="3">
        <v>0.13100000000000001</v>
      </c>
      <c r="P152" s="3">
        <v>16</v>
      </c>
      <c r="Q152" s="3">
        <v>7901.5041599999995</v>
      </c>
      <c r="R152" s="3">
        <f t="shared" si="10"/>
        <v>12213.12</v>
      </c>
      <c r="S152" s="3">
        <v>4311.6158400000013</v>
      </c>
      <c r="T152" s="3">
        <f t="shared" si="11"/>
        <v>0.54567026134426555</v>
      </c>
      <c r="U152" s="3" t="str">
        <f t="shared" si="12"/>
        <v>Apr-2025</v>
      </c>
      <c r="AB152" s="3">
        <f t="shared" si="13"/>
        <v>12213.12</v>
      </c>
      <c r="AC152" s="3">
        <f t="shared" si="14"/>
        <v>7901.5041599999995</v>
      </c>
    </row>
    <row r="153" spans="1:29" x14ac:dyDescent="0.35">
      <c r="A153" s="3" t="s">
        <v>166</v>
      </c>
      <c r="B153" s="4">
        <v>45110</v>
      </c>
      <c r="C153" s="4">
        <v>45130</v>
      </c>
      <c r="D153" s="5">
        <v>20</v>
      </c>
      <c r="E153" s="3" t="s">
        <v>646</v>
      </c>
      <c r="F153" s="3" t="s">
        <v>661</v>
      </c>
      <c r="G153" s="3" t="s">
        <v>682</v>
      </c>
      <c r="H153" s="3" t="s">
        <v>705</v>
      </c>
      <c r="I153" s="3" t="s">
        <v>710</v>
      </c>
      <c r="J153" s="3" t="s">
        <v>721</v>
      </c>
      <c r="K153" s="3" t="s">
        <v>731</v>
      </c>
      <c r="L153" s="3" t="s">
        <v>885</v>
      </c>
      <c r="M153" s="3">
        <v>1001.96</v>
      </c>
      <c r="N153" s="3">
        <v>1254.95</v>
      </c>
      <c r="O153" s="3">
        <v>4.4999999999999998E-2</v>
      </c>
      <c r="P153" s="3">
        <v>18</v>
      </c>
      <c r="Q153" s="3">
        <v>21572.590500000002</v>
      </c>
      <c r="R153" s="3">
        <f t="shared" si="10"/>
        <v>18035.28</v>
      </c>
      <c r="S153" s="3">
        <v>3537.3105000000032</v>
      </c>
      <c r="T153" s="3">
        <f t="shared" si="11"/>
        <v>0.16397244920585699</v>
      </c>
      <c r="U153" s="3" t="str">
        <f t="shared" si="12"/>
        <v>Jul-2023</v>
      </c>
      <c r="AB153" s="3">
        <f t="shared" si="13"/>
        <v>18035.28</v>
      </c>
      <c r="AC153" s="3">
        <f t="shared" si="14"/>
        <v>21572.590500000002</v>
      </c>
    </row>
    <row r="154" spans="1:29" x14ac:dyDescent="0.35">
      <c r="A154" s="3" t="s">
        <v>167</v>
      </c>
      <c r="B154" s="4">
        <v>45267</v>
      </c>
      <c r="C154" s="4">
        <v>45265</v>
      </c>
      <c r="D154" s="5">
        <v>2</v>
      </c>
      <c r="E154" s="3" t="s">
        <v>647</v>
      </c>
      <c r="F154" s="3" t="s">
        <v>652</v>
      </c>
      <c r="G154" s="3" t="s">
        <v>689</v>
      </c>
      <c r="H154" s="3" t="s">
        <v>703</v>
      </c>
      <c r="I154" s="3" t="s">
        <v>709</v>
      </c>
      <c r="J154" s="3" t="s">
        <v>722</v>
      </c>
      <c r="K154" s="3" t="s">
        <v>728</v>
      </c>
      <c r="L154" s="3" t="s">
        <v>886</v>
      </c>
      <c r="M154" s="3">
        <v>1097.5899999999999</v>
      </c>
      <c r="N154" s="3">
        <v>845.55</v>
      </c>
      <c r="O154" s="3">
        <v>0.184</v>
      </c>
      <c r="P154" s="3">
        <v>6</v>
      </c>
      <c r="Q154" s="3">
        <v>4139.8127999999997</v>
      </c>
      <c r="R154" s="3">
        <f t="shared" si="10"/>
        <v>6585.5399999999991</v>
      </c>
      <c r="S154" s="3">
        <v>2445.7271999999994</v>
      </c>
      <c r="T154" s="3">
        <f t="shared" si="11"/>
        <v>0.59078207594314402</v>
      </c>
      <c r="U154" s="3" t="str">
        <f t="shared" si="12"/>
        <v>Dec-2023</v>
      </c>
      <c r="AB154" s="3">
        <f t="shared" si="13"/>
        <v>6585.5399999999991</v>
      </c>
      <c r="AC154" s="3">
        <f t="shared" si="14"/>
        <v>4139.8127999999997</v>
      </c>
    </row>
    <row r="155" spans="1:29" x14ac:dyDescent="0.35">
      <c r="A155" s="3" t="s">
        <v>168</v>
      </c>
      <c r="B155" s="4">
        <v>45340</v>
      </c>
      <c r="C155" s="4">
        <v>45355</v>
      </c>
      <c r="D155" s="5">
        <v>15</v>
      </c>
      <c r="E155" s="3" t="s">
        <v>646</v>
      </c>
      <c r="F155" s="3" t="s">
        <v>650</v>
      </c>
      <c r="G155" s="3" t="s">
        <v>662</v>
      </c>
      <c r="H155" s="3" t="s">
        <v>702</v>
      </c>
      <c r="I155" s="3" t="s">
        <v>711</v>
      </c>
      <c r="J155" s="3" t="s">
        <v>723</v>
      </c>
      <c r="K155" s="3" t="s">
        <v>728</v>
      </c>
      <c r="L155" s="3" t="s">
        <v>887</v>
      </c>
      <c r="M155" s="3">
        <v>928.68</v>
      </c>
      <c r="N155" s="3">
        <v>2145.17</v>
      </c>
      <c r="O155" s="3">
        <v>0.13600000000000001</v>
      </c>
      <c r="P155" s="3">
        <v>16</v>
      </c>
      <c r="Q155" s="3">
        <v>29654.83008</v>
      </c>
      <c r="R155" s="3">
        <f t="shared" si="10"/>
        <v>14858.88</v>
      </c>
      <c r="S155" s="3">
        <v>14795.950080000001</v>
      </c>
      <c r="T155" s="3">
        <f t="shared" si="11"/>
        <v>0.49893896003062177</v>
      </c>
      <c r="U155" s="3" t="str">
        <f t="shared" si="12"/>
        <v>Feb-2024</v>
      </c>
      <c r="AB155" s="3">
        <f t="shared" si="13"/>
        <v>14858.88</v>
      </c>
      <c r="AC155" s="3">
        <f t="shared" si="14"/>
        <v>29654.83008</v>
      </c>
    </row>
    <row r="156" spans="1:29" x14ac:dyDescent="0.35">
      <c r="A156" s="3" t="s">
        <v>169</v>
      </c>
      <c r="B156" s="4">
        <v>45230</v>
      </c>
      <c r="C156" s="4">
        <v>45232</v>
      </c>
      <c r="D156" s="5">
        <v>2</v>
      </c>
      <c r="E156" s="3" t="s">
        <v>646</v>
      </c>
      <c r="F156" s="3" t="s">
        <v>650</v>
      </c>
      <c r="G156" s="3" t="s">
        <v>662</v>
      </c>
      <c r="H156" s="3" t="s">
        <v>702</v>
      </c>
      <c r="I156" s="3" t="s">
        <v>707</v>
      </c>
      <c r="J156" s="3" t="s">
        <v>719</v>
      </c>
      <c r="K156" s="3" t="s">
        <v>733</v>
      </c>
      <c r="L156" s="3" t="s">
        <v>888</v>
      </c>
      <c r="M156" s="3">
        <v>867.89</v>
      </c>
      <c r="N156" s="3">
        <v>1349.94</v>
      </c>
      <c r="O156" s="3">
        <v>0.184</v>
      </c>
      <c r="P156" s="3">
        <v>10</v>
      </c>
      <c r="Q156" s="3">
        <v>11015.510400000003</v>
      </c>
      <c r="R156" s="3">
        <f t="shared" si="10"/>
        <v>8678.9</v>
      </c>
      <c r="S156" s="3">
        <v>2336.6104000000032</v>
      </c>
      <c r="T156" s="3">
        <f t="shared" si="11"/>
        <v>0.21212003031652557</v>
      </c>
      <c r="U156" s="3" t="str">
        <f t="shared" si="12"/>
        <v>Oct-2023</v>
      </c>
      <c r="AB156" s="3">
        <f t="shared" si="13"/>
        <v>8678.9</v>
      </c>
      <c r="AC156" s="3">
        <f t="shared" si="14"/>
        <v>11015.510400000003</v>
      </c>
    </row>
    <row r="157" spans="1:29" x14ac:dyDescent="0.35">
      <c r="A157" s="3" t="s">
        <v>170</v>
      </c>
      <c r="B157" s="4">
        <v>45511</v>
      </c>
      <c r="C157" s="4">
        <v>45521</v>
      </c>
      <c r="D157" s="5">
        <v>10</v>
      </c>
      <c r="E157" s="3" t="s">
        <v>647</v>
      </c>
      <c r="F157" s="3" t="s">
        <v>652</v>
      </c>
      <c r="G157" s="3" t="s">
        <v>666</v>
      </c>
      <c r="H157" s="3" t="s">
        <v>704</v>
      </c>
      <c r="I157" s="3" t="s">
        <v>708</v>
      </c>
      <c r="J157" s="3" t="s">
        <v>723</v>
      </c>
      <c r="K157" s="3" t="s">
        <v>729</v>
      </c>
      <c r="L157" s="3" t="s">
        <v>889</v>
      </c>
      <c r="M157" s="3">
        <v>436.58</v>
      </c>
      <c r="N157" s="3">
        <v>527.48</v>
      </c>
      <c r="O157" s="3">
        <v>0.111</v>
      </c>
      <c r="P157" s="3">
        <v>19</v>
      </c>
      <c r="Q157" s="3">
        <v>8909.6646800000017</v>
      </c>
      <c r="R157" s="3">
        <f t="shared" si="10"/>
        <v>8295.02</v>
      </c>
      <c r="S157" s="3">
        <v>614.64468000000124</v>
      </c>
      <c r="T157" s="3">
        <f t="shared" si="11"/>
        <v>6.8986286473802644E-2</v>
      </c>
      <c r="U157" s="3" t="str">
        <f t="shared" si="12"/>
        <v>Aug-2024</v>
      </c>
      <c r="AB157" s="3">
        <f t="shared" si="13"/>
        <v>8295.02</v>
      </c>
      <c r="AC157" s="3">
        <f t="shared" si="14"/>
        <v>8909.6646800000017</v>
      </c>
    </row>
    <row r="158" spans="1:29" x14ac:dyDescent="0.35">
      <c r="A158" s="3" t="s">
        <v>171</v>
      </c>
      <c r="B158" s="4">
        <v>45323</v>
      </c>
      <c r="C158" s="4">
        <v>45343</v>
      </c>
      <c r="D158" s="5">
        <v>20</v>
      </c>
      <c r="E158" s="3" t="s">
        <v>649</v>
      </c>
      <c r="F158" s="3" t="s">
        <v>657</v>
      </c>
      <c r="G158" s="3" t="s">
        <v>690</v>
      </c>
      <c r="H158" s="3" t="s">
        <v>705</v>
      </c>
      <c r="I158" s="3" t="s">
        <v>709</v>
      </c>
      <c r="J158" s="3" t="s">
        <v>720</v>
      </c>
      <c r="K158" s="3" t="s">
        <v>729</v>
      </c>
      <c r="L158" s="3" t="s">
        <v>890</v>
      </c>
      <c r="M158" s="3">
        <v>656.2</v>
      </c>
      <c r="N158" s="3">
        <v>1467.17</v>
      </c>
      <c r="O158" s="3">
        <v>1.7999999999999999E-2</v>
      </c>
      <c r="P158" s="3">
        <v>5</v>
      </c>
      <c r="Q158" s="3">
        <v>7203.8047000000006</v>
      </c>
      <c r="R158" s="3">
        <f t="shared" si="10"/>
        <v>3281</v>
      </c>
      <c r="S158" s="3">
        <v>3922.8047000000006</v>
      </c>
      <c r="T158" s="3">
        <f t="shared" si="11"/>
        <v>0.54454623124360946</v>
      </c>
      <c r="U158" s="3" t="str">
        <f t="shared" si="12"/>
        <v>Feb-2024</v>
      </c>
      <c r="AB158" s="3">
        <f t="shared" si="13"/>
        <v>3281</v>
      </c>
      <c r="AC158" s="3">
        <f t="shared" si="14"/>
        <v>7203.8047000000006</v>
      </c>
    </row>
    <row r="159" spans="1:29" x14ac:dyDescent="0.35">
      <c r="A159" s="3" t="s">
        <v>172</v>
      </c>
      <c r="B159" s="4">
        <v>45531</v>
      </c>
      <c r="C159" s="4">
        <v>45553</v>
      </c>
      <c r="D159" s="5">
        <v>22</v>
      </c>
      <c r="E159" s="3" t="s">
        <v>647</v>
      </c>
      <c r="F159" s="3" t="s">
        <v>654</v>
      </c>
      <c r="G159" s="3" t="s">
        <v>680</v>
      </c>
      <c r="H159" s="3" t="s">
        <v>704</v>
      </c>
      <c r="I159" s="3" t="s">
        <v>711</v>
      </c>
      <c r="J159" s="3" t="s">
        <v>717</v>
      </c>
      <c r="K159" s="3" t="s">
        <v>727</v>
      </c>
      <c r="L159" s="3" t="s">
        <v>891</v>
      </c>
      <c r="M159" s="3">
        <v>896.75</v>
      </c>
      <c r="N159" s="3">
        <v>1651.14</v>
      </c>
      <c r="O159" s="3">
        <v>2.5000000000000001E-2</v>
      </c>
      <c r="P159" s="3">
        <v>15</v>
      </c>
      <c r="Q159" s="3">
        <v>24147.922500000001</v>
      </c>
      <c r="R159" s="3">
        <f t="shared" si="10"/>
        <v>13451.25</v>
      </c>
      <c r="S159" s="3">
        <v>10696.672500000001</v>
      </c>
      <c r="T159" s="3">
        <f t="shared" si="11"/>
        <v>0.44296450346815552</v>
      </c>
      <c r="U159" s="3" t="str">
        <f t="shared" si="12"/>
        <v>Aug-2024</v>
      </c>
      <c r="AB159" s="3">
        <f t="shared" si="13"/>
        <v>13451.25</v>
      </c>
      <c r="AC159" s="3">
        <f t="shared" si="14"/>
        <v>24147.922500000001</v>
      </c>
    </row>
    <row r="160" spans="1:29" x14ac:dyDescent="0.35">
      <c r="A160" s="3" t="s">
        <v>173</v>
      </c>
      <c r="B160" s="4">
        <v>45703</v>
      </c>
      <c r="C160" s="4">
        <v>45703</v>
      </c>
      <c r="D160" s="5">
        <v>0</v>
      </c>
      <c r="E160" s="3" t="s">
        <v>649</v>
      </c>
      <c r="F160" s="3" t="s">
        <v>656</v>
      </c>
      <c r="G160" s="3" t="s">
        <v>698</v>
      </c>
      <c r="H160" s="3" t="s">
        <v>705</v>
      </c>
      <c r="I160" s="3" t="s">
        <v>709</v>
      </c>
      <c r="J160" s="3" t="s">
        <v>716</v>
      </c>
      <c r="K160" s="3" t="s">
        <v>733</v>
      </c>
      <c r="L160" s="3" t="s">
        <v>892</v>
      </c>
      <c r="M160" s="3">
        <v>815.83</v>
      </c>
      <c r="N160" s="3">
        <v>1982.18</v>
      </c>
      <c r="O160" s="3">
        <v>0.127</v>
      </c>
      <c r="P160" s="3">
        <v>6</v>
      </c>
      <c r="Q160" s="3">
        <v>10382.65884</v>
      </c>
      <c r="R160" s="3">
        <f t="shared" si="10"/>
        <v>4894.9800000000005</v>
      </c>
      <c r="S160" s="3">
        <v>5487.6788399999996</v>
      </c>
      <c r="T160" s="3">
        <f t="shared" si="11"/>
        <v>0.52854272923408507</v>
      </c>
      <c r="U160" s="3" t="str">
        <f t="shared" si="12"/>
        <v>Feb-2025</v>
      </c>
      <c r="AB160" s="3">
        <f t="shared" si="13"/>
        <v>4894.9800000000005</v>
      </c>
      <c r="AC160" s="3">
        <f t="shared" si="14"/>
        <v>10382.65884</v>
      </c>
    </row>
    <row r="161" spans="1:29" x14ac:dyDescent="0.35">
      <c r="A161" s="3" t="s">
        <v>174</v>
      </c>
      <c r="B161" s="4">
        <v>45870</v>
      </c>
      <c r="C161" s="4">
        <v>45890</v>
      </c>
      <c r="D161" s="5">
        <v>20</v>
      </c>
      <c r="E161" s="3" t="s">
        <v>647</v>
      </c>
      <c r="F161" s="3" t="s">
        <v>659</v>
      </c>
      <c r="G161" s="3" t="s">
        <v>685</v>
      </c>
      <c r="H161" s="3" t="s">
        <v>701</v>
      </c>
      <c r="I161" s="3" t="s">
        <v>711</v>
      </c>
      <c r="J161" s="3" t="s">
        <v>714</v>
      </c>
      <c r="K161" s="3" t="s">
        <v>730</v>
      </c>
      <c r="L161" s="3" t="s">
        <v>893</v>
      </c>
      <c r="M161" s="3">
        <v>1220.4100000000001</v>
      </c>
      <c r="N161" s="3">
        <v>2552.2199999999998</v>
      </c>
      <c r="O161" s="3">
        <v>0.18099999999999999</v>
      </c>
      <c r="P161" s="3">
        <v>14</v>
      </c>
      <c r="Q161" s="3">
        <v>29263.754519999995</v>
      </c>
      <c r="R161" s="3">
        <f t="shared" si="10"/>
        <v>17085.740000000002</v>
      </c>
      <c r="S161" s="3">
        <v>12178.014519999993</v>
      </c>
      <c r="T161" s="3">
        <f t="shared" si="11"/>
        <v>0.41614668793360271</v>
      </c>
      <c r="U161" s="3" t="str">
        <f t="shared" si="12"/>
        <v>Aug-2025</v>
      </c>
      <c r="AB161" s="3">
        <f t="shared" si="13"/>
        <v>17085.740000000002</v>
      </c>
      <c r="AC161" s="3">
        <f t="shared" si="14"/>
        <v>29263.754519999995</v>
      </c>
    </row>
    <row r="162" spans="1:29" x14ac:dyDescent="0.35">
      <c r="A162" s="3" t="s">
        <v>175</v>
      </c>
      <c r="B162" s="4">
        <v>44977</v>
      </c>
      <c r="C162" s="4">
        <v>44989</v>
      </c>
      <c r="D162" s="5">
        <v>12</v>
      </c>
      <c r="E162" s="3" t="s">
        <v>647</v>
      </c>
      <c r="F162" s="3" t="s">
        <v>654</v>
      </c>
      <c r="G162" s="3" t="s">
        <v>680</v>
      </c>
      <c r="H162" s="3" t="s">
        <v>704</v>
      </c>
      <c r="I162" s="3" t="s">
        <v>710</v>
      </c>
      <c r="J162" s="3" t="s">
        <v>724</v>
      </c>
      <c r="K162" s="3" t="s">
        <v>732</v>
      </c>
      <c r="L162" s="3" t="s">
        <v>894</v>
      </c>
      <c r="M162" s="3">
        <v>299.75</v>
      </c>
      <c r="N162" s="3">
        <v>523.01</v>
      </c>
      <c r="O162" s="3">
        <v>0.157</v>
      </c>
      <c r="P162" s="3">
        <v>50</v>
      </c>
      <c r="Q162" s="3">
        <v>22044.871499999997</v>
      </c>
      <c r="R162" s="3">
        <f t="shared" si="10"/>
        <v>14987.5</v>
      </c>
      <c r="S162" s="3">
        <v>7057.3714999999975</v>
      </c>
      <c r="T162" s="3">
        <f t="shared" si="11"/>
        <v>0.32013665854210122</v>
      </c>
      <c r="U162" s="3" t="str">
        <f t="shared" si="12"/>
        <v>Feb-2023</v>
      </c>
      <c r="AB162" s="3">
        <f t="shared" si="13"/>
        <v>14987.5</v>
      </c>
      <c r="AC162" s="3">
        <f t="shared" si="14"/>
        <v>22044.871499999997</v>
      </c>
    </row>
    <row r="163" spans="1:29" x14ac:dyDescent="0.35">
      <c r="A163" s="3" t="s">
        <v>176</v>
      </c>
      <c r="B163" s="4">
        <v>45595</v>
      </c>
      <c r="C163" s="4">
        <v>45620</v>
      </c>
      <c r="D163" s="5">
        <v>25</v>
      </c>
      <c r="E163" s="3" t="s">
        <v>647</v>
      </c>
      <c r="F163" s="3" t="s">
        <v>659</v>
      </c>
      <c r="G163" s="3" t="s">
        <v>676</v>
      </c>
      <c r="H163" s="3" t="s">
        <v>705</v>
      </c>
      <c r="I163" s="3" t="s">
        <v>708</v>
      </c>
      <c r="J163" s="3" t="s">
        <v>718</v>
      </c>
      <c r="K163" s="3" t="s">
        <v>727</v>
      </c>
      <c r="L163" s="3" t="s">
        <v>895</v>
      </c>
      <c r="M163" s="3">
        <v>811.05</v>
      </c>
      <c r="N163" s="3">
        <v>1217.71</v>
      </c>
      <c r="O163" s="3">
        <v>7.1999999999999995E-2</v>
      </c>
      <c r="P163" s="3">
        <v>5</v>
      </c>
      <c r="Q163" s="3">
        <v>5650.1744000000008</v>
      </c>
      <c r="R163" s="3">
        <f t="shared" si="10"/>
        <v>4055.25</v>
      </c>
      <c r="S163" s="3">
        <v>1594.9244000000008</v>
      </c>
      <c r="T163" s="3">
        <f t="shared" si="11"/>
        <v>0.28227879125288602</v>
      </c>
      <c r="U163" s="3" t="str">
        <f t="shared" si="12"/>
        <v>Oct-2024</v>
      </c>
      <c r="AB163" s="3">
        <f t="shared" si="13"/>
        <v>4055.25</v>
      </c>
      <c r="AC163" s="3">
        <f t="shared" si="14"/>
        <v>5650.1744000000008</v>
      </c>
    </row>
    <row r="164" spans="1:29" x14ac:dyDescent="0.35">
      <c r="A164" s="3" t="s">
        <v>177</v>
      </c>
      <c r="B164" s="4">
        <v>45385</v>
      </c>
      <c r="C164" s="4">
        <v>45389</v>
      </c>
      <c r="D164" s="5">
        <v>4</v>
      </c>
      <c r="E164" s="3" t="s">
        <v>648</v>
      </c>
      <c r="F164" s="3" t="s">
        <v>655</v>
      </c>
      <c r="G164" s="3" t="s">
        <v>672</v>
      </c>
      <c r="H164" s="3" t="s">
        <v>703</v>
      </c>
      <c r="I164" s="3" t="s">
        <v>711</v>
      </c>
      <c r="J164" s="3" t="s">
        <v>725</v>
      </c>
      <c r="K164" s="3" t="s">
        <v>730</v>
      </c>
      <c r="L164" s="3" t="s">
        <v>896</v>
      </c>
      <c r="M164" s="3">
        <v>1023.27</v>
      </c>
      <c r="N164" s="3">
        <v>1343.64</v>
      </c>
      <c r="O164" s="3">
        <v>0.13300000000000001</v>
      </c>
      <c r="P164" s="3">
        <v>7</v>
      </c>
      <c r="Q164" s="3">
        <v>8154.5511600000009</v>
      </c>
      <c r="R164" s="3">
        <f t="shared" si="10"/>
        <v>7162.8899999999994</v>
      </c>
      <c r="S164" s="3">
        <v>991.66116000000147</v>
      </c>
      <c r="T164" s="3">
        <f t="shared" si="11"/>
        <v>0.12160830688810116</v>
      </c>
      <c r="U164" s="3" t="str">
        <f t="shared" si="12"/>
        <v>Apr-2024</v>
      </c>
      <c r="AB164" s="3">
        <f t="shared" si="13"/>
        <v>7162.8899999999994</v>
      </c>
      <c r="AC164" s="3">
        <f t="shared" si="14"/>
        <v>8154.5511600000009</v>
      </c>
    </row>
    <row r="165" spans="1:29" x14ac:dyDescent="0.35">
      <c r="A165" s="3" t="s">
        <v>178</v>
      </c>
      <c r="B165" s="4">
        <v>45010</v>
      </c>
      <c r="C165" s="4">
        <v>45011</v>
      </c>
      <c r="D165" s="5">
        <v>1</v>
      </c>
      <c r="E165" s="3" t="s">
        <v>647</v>
      </c>
      <c r="F165" s="3" t="s">
        <v>652</v>
      </c>
      <c r="G165" s="3" t="s">
        <v>666</v>
      </c>
      <c r="H165" s="3" t="s">
        <v>705</v>
      </c>
      <c r="I165" s="3" t="s">
        <v>710</v>
      </c>
      <c r="J165" s="3" t="s">
        <v>714</v>
      </c>
      <c r="K165" s="3" t="s">
        <v>732</v>
      </c>
      <c r="L165" s="3" t="s">
        <v>897</v>
      </c>
      <c r="M165" s="3">
        <v>135.12</v>
      </c>
      <c r="N165" s="3">
        <v>301.7</v>
      </c>
      <c r="O165" s="3">
        <v>0.14000000000000001</v>
      </c>
      <c r="P165" s="3">
        <v>47</v>
      </c>
      <c r="Q165" s="3">
        <v>12194.714</v>
      </c>
      <c r="R165" s="3">
        <f t="shared" si="10"/>
        <v>6350.64</v>
      </c>
      <c r="S165" s="3">
        <v>5844.0739999999996</v>
      </c>
      <c r="T165" s="3">
        <f t="shared" si="11"/>
        <v>0.47923009920527859</v>
      </c>
      <c r="U165" s="3" t="str">
        <f t="shared" si="12"/>
        <v>Mar-2023</v>
      </c>
      <c r="AB165" s="3">
        <f t="shared" si="13"/>
        <v>6350.64</v>
      </c>
      <c r="AC165" s="3">
        <f t="shared" si="14"/>
        <v>12194.714</v>
      </c>
    </row>
    <row r="166" spans="1:29" x14ac:dyDescent="0.35">
      <c r="A166" s="3" t="s">
        <v>179</v>
      </c>
      <c r="B166" s="4">
        <v>45447</v>
      </c>
      <c r="C166" s="4">
        <v>45459</v>
      </c>
      <c r="D166" s="5">
        <v>12</v>
      </c>
      <c r="E166" s="3" t="s">
        <v>647</v>
      </c>
      <c r="F166" s="3" t="s">
        <v>659</v>
      </c>
      <c r="G166" s="3" t="s">
        <v>685</v>
      </c>
      <c r="H166" s="3" t="s">
        <v>701</v>
      </c>
      <c r="I166" s="3" t="s">
        <v>707</v>
      </c>
      <c r="J166" s="3" t="s">
        <v>713</v>
      </c>
      <c r="K166" s="3" t="s">
        <v>728</v>
      </c>
      <c r="L166" s="3" t="s">
        <v>898</v>
      </c>
      <c r="M166" s="3">
        <v>918.42</v>
      </c>
      <c r="N166" s="3">
        <v>1511.71</v>
      </c>
      <c r="O166" s="3">
        <v>0.02</v>
      </c>
      <c r="P166" s="3">
        <v>8</v>
      </c>
      <c r="Q166" s="3">
        <v>11851.806399999999</v>
      </c>
      <c r="R166" s="3">
        <f t="shared" si="10"/>
        <v>7347.36</v>
      </c>
      <c r="S166" s="3">
        <v>4504.4463999999998</v>
      </c>
      <c r="T166" s="3">
        <f t="shared" si="11"/>
        <v>0.38006412254590999</v>
      </c>
      <c r="U166" s="3" t="str">
        <f t="shared" si="12"/>
        <v>Jun-2024</v>
      </c>
      <c r="AB166" s="3">
        <f t="shared" si="13"/>
        <v>7347.36</v>
      </c>
      <c r="AC166" s="3">
        <f t="shared" si="14"/>
        <v>11851.806399999999</v>
      </c>
    </row>
    <row r="167" spans="1:29" x14ac:dyDescent="0.35">
      <c r="A167" s="3" t="s">
        <v>180</v>
      </c>
      <c r="B167" s="4">
        <v>44976</v>
      </c>
      <c r="C167" s="4">
        <v>44997</v>
      </c>
      <c r="D167" s="5">
        <v>21</v>
      </c>
      <c r="E167" s="3" t="s">
        <v>649</v>
      </c>
      <c r="F167" s="3" t="s">
        <v>656</v>
      </c>
      <c r="G167" s="3" t="s">
        <v>671</v>
      </c>
      <c r="H167" s="3" t="s">
        <v>705</v>
      </c>
      <c r="I167" s="3" t="s">
        <v>711</v>
      </c>
      <c r="J167" s="3" t="s">
        <v>716</v>
      </c>
      <c r="K167" s="3" t="s">
        <v>732</v>
      </c>
      <c r="L167" s="3" t="s">
        <v>899</v>
      </c>
      <c r="M167" s="3">
        <v>1234.81</v>
      </c>
      <c r="N167" s="3">
        <v>2055.2399999999998</v>
      </c>
      <c r="O167" s="3">
        <v>5.2999999999999999E-2</v>
      </c>
      <c r="P167" s="3">
        <v>44</v>
      </c>
      <c r="Q167" s="3">
        <v>85637.740319999997</v>
      </c>
      <c r="R167" s="3">
        <f t="shared" si="10"/>
        <v>54331.64</v>
      </c>
      <c r="S167" s="3">
        <v>31306.100319999998</v>
      </c>
      <c r="T167" s="3">
        <f t="shared" si="11"/>
        <v>0.36556429680441616</v>
      </c>
      <c r="U167" s="3" t="str">
        <f t="shared" si="12"/>
        <v>Feb-2023</v>
      </c>
      <c r="AB167" s="3">
        <f t="shared" si="13"/>
        <v>54331.64</v>
      </c>
      <c r="AC167" s="3">
        <f t="shared" si="14"/>
        <v>85637.740319999997</v>
      </c>
    </row>
    <row r="168" spans="1:29" x14ac:dyDescent="0.35">
      <c r="A168" s="3" t="s">
        <v>181</v>
      </c>
      <c r="B168" s="4">
        <v>45034</v>
      </c>
      <c r="C168" s="4">
        <v>45064</v>
      </c>
      <c r="D168" s="5">
        <v>30</v>
      </c>
      <c r="E168" s="3" t="s">
        <v>647</v>
      </c>
      <c r="F168" s="3" t="s">
        <v>659</v>
      </c>
      <c r="G168" s="3" t="s">
        <v>676</v>
      </c>
      <c r="H168" s="3" t="s">
        <v>703</v>
      </c>
      <c r="I168" s="3" t="s">
        <v>707</v>
      </c>
      <c r="J168" s="3" t="s">
        <v>722</v>
      </c>
      <c r="K168" s="3" t="s">
        <v>731</v>
      </c>
      <c r="L168" s="3" t="s">
        <v>900</v>
      </c>
      <c r="M168" s="3">
        <v>329.03</v>
      </c>
      <c r="N168" s="3">
        <v>391.15</v>
      </c>
      <c r="O168" s="3">
        <v>0.19700000000000001</v>
      </c>
      <c r="P168" s="3">
        <v>46</v>
      </c>
      <c r="Q168" s="3">
        <v>14448.298699999998</v>
      </c>
      <c r="R168" s="3">
        <f t="shared" si="10"/>
        <v>15135.38</v>
      </c>
      <c r="S168" s="3">
        <v>687.08130000000165</v>
      </c>
      <c r="T168" s="3">
        <f t="shared" si="11"/>
        <v>4.7554477815440081E-2</v>
      </c>
      <c r="U168" s="3" t="str">
        <f t="shared" si="12"/>
        <v>Apr-2023</v>
      </c>
      <c r="AB168" s="3">
        <f t="shared" si="13"/>
        <v>15135.38</v>
      </c>
      <c r="AC168" s="3">
        <f t="shared" si="14"/>
        <v>14448.298699999998</v>
      </c>
    </row>
    <row r="169" spans="1:29" x14ac:dyDescent="0.35">
      <c r="A169" s="3" t="s">
        <v>182</v>
      </c>
      <c r="B169" s="4">
        <v>45435</v>
      </c>
      <c r="C169" s="4">
        <v>45457</v>
      </c>
      <c r="D169" s="5">
        <v>22</v>
      </c>
      <c r="E169" s="3" t="s">
        <v>649</v>
      </c>
      <c r="F169" s="3" t="s">
        <v>657</v>
      </c>
      <c r="G169" s="3" t="s">
        <v>673</v>
      </c>
      <c r="H169" s="3" t="s">
        <v>705</v>
      </c>
      <c r="I169" s="3" t="s">
        <v>708</v>
      </c>
      <c r="J169" s="3" t="s">
        <v>725</v>
      </c>
      <c r="K169" s="3" t="s">
        <v>732</v>
      </c>
      <c r="L169" s="3" t="s">
        <v>901</v>
      </c>
      <c r="M169" s="3">
        <v>1481.74</v>
      </c>
      <c r="N169" s="3">
        <v>1848.97</v>
      </c>
      <c r="O169" s="3">
        <v>0.254</v>
      </c>
      <c r="P169" s="3">
        <v>9</v>
      </c>
      <c r="Q169" s="3">
        <v>12413.98458</v>
      </c>
      <c r="R169" s="3">
        <f t="shared" si="10"/>
        <v>13335.66</v>
      </c>
      <c r="S169" s="3">
        <v>921.67541999999958</v>
      </c>
      <c r="T169" s="3">
        <f t="shared" si="11"/>
        <v>7.4244930309072407E-2</v>
      </c>
      <c r="U169" s="3" t="str">
        <f t="shared" si="12"/>
        <v>May-2024</v>
      </c>
      <c r="AB169" s="3">
        <f t="shared" si="13"/>
        <v>13335.66</v>
      </c>
      <c r="AC169" s="3">
        <f t="shared" si="14"/>
        <v>13312.584000000001</v>
      </c>
    </row>
    <row r="170" spans="1:29" x14ac:dyDescent="0.35">
      <c r="A170" s="3" t="s">
        <v>183</v>
      </c>
      <c r="B170" s="4">
        <v>45206</v>
      </c>
      <c r="C170" s="4">
        <v>45222</v>
      </c>
      <c r="D170" s="5">
        <v>16</v>
      </c>
      <c r="E170" s="3" t="s">
        <v>647</v>
      </c>
      <c r="F170" s="3" t="s">
        <v>654</v>
      </c>
      <c r="G170" s="3" t="s">
        <v>696</v>
      </c>
      <c r="H170" s="3" t="s">
        <v>704</v>
      </c>
      <c r="I170" s="3" t="s">
        <v>707</v>
      </c>
      <c r="J170" s="3" t="s">
        <v>715</v>
      </c>
      <c r="K170" s="3" t="s">
        <v>732</v>
      </c>
      <c r="L170" s="3" t="s">
        <v>902</v>
      </c>
      <c r="M170" s="3">
        <v>906.81</v>
      </c>
      <c r="N170" s="3">
        <v>1395.56</v>
      </c>
      <c r="O170" s="3">
        <v>0.185</v>
      </c>
      <c r="P170" s="3">
        <v>6</v>
      </c>
      <c r="Q170" s="3">
        <v>6824.2884000000004</v>
      </c>
      <c r="R170" s="3">
        <f t="shared" si="10"/>
        <v>5440.86</v>
      </c>
      <c r="S170" s="3">
        <v>1383.4284000000007</v>
      </c>
      <c r="T170" s="3">
        <f t="shared" si="11"/>
        <v>0.20272126834498974</v>
      </c>
      <c r="U170" s="3" t="str">
        <f t="shared" si="12"/>
        <v>Oct-2023</v>
      </c>
      <c r="AB170" s="3">
        <f t="shared" si="13"/>
        <v>5440.86</v>
      </c>
      <c r="AC170" s="3">
        <f t="shared" si="14"/>
        <v>6824.2884000000004</v>
      </c>
    </row>
    <row r="171" spans="1:29" x14ac:dyDescent="0.35">
      <c r="A171" s="3" t="s">
        <v>184</v>
      </c>
      <c r="B171" s="4">
        <v>45574</v>
      </c>
      <c r="C171" s="4">
        <v>45604</v>
      </c>
      <c r="D171" s="5">
        <v>30</v>
      </c>
      <c r="E171" s="3" t="s">
        <v>649</v>
      </c>
      <c r="F171" s="3" t="s">
        <v>658</v>
      </c>
      <c r="G171" s="3" t="s">
        <v>693</v>
      </c>
      <c r="H171" s="3" t="s">
        <v>705</v>
      </c>
      <c r="I171" s="3" t="s">
        <v>710</v>
      </c>
      <c r="J171" s="3" t="s">
        <v>713</v>
      </c>
      <c r="K171" s="3" t="s">
        <v>727</v>
      </c>
      <c r="L171" s="3" t="s">
        <v>903</v>
      </c>
      <c r="M171" s="3">
        <v>343.85</v>
      </c>
      <c r="N171" s="3">
        <v>538.04</v>
      </c>
      <c r="O171" s="3">
        <v>0.13900000000000001</v>
      </c>
      <c r="P171" s="3">
        <v>5</v>
      </c>
      <c r="Q171" s="3">
        <v>2316.2621999999997</v>
      </c>
      <c r="R171" s="3">
        <f t="shared" si="10"/>
        <v>1719.25</v>
      </c>
      <c r="S171" s="3">
        <v>597.01219999999967</v>
      </c>
      <c r="T171" s="3">
        <f t="shared" si="11"/>
        <v>0.25774810813732563</v>
      </c>
      <c r="U171" s="3" t="str">
        <f t="shared" si="12"/>
        <v>Oct-2024</v>
      </c>
      <c r="AB171" s="3">
        <f t="shared" si="13"/>
        <v>1719.25</v>
      </c>
      <c r="AC171" s="3">
        <f t="shared" si="14"/>
        <v>2316.2621999999997</v>
      </c>
    </row>
    <row r="172" spans="1:29" x14ac:dyDescent="0.35">
      <c r="A172" s="3" t="s">
        <v>185</v>
      </c>
      <c r="B172" s="4">
        <v>45488</v>
      </c>
      <c r="C172" s="4">
        <v>45488</v>
      </c>
      <c r="D172" s="5">
        <v>0</v>
      </c>
      <c r="E172" s="3" t="s">
        <v>647</v>
      </c>
      <c r="F172" s="3" t="s">
        <v>652</v>
      </c>
      <c r="G172" s="3" t="s">
        <v>689</v>
      </c>
      <c r="H172" s="3" t="s">
        <v>705</v>
      </c>
      <c r="I172" s="3" t="s">
        <v>709</v>
      </c>
      <c r="J172" s="3" t="s">
        <v>715</v>
      </c>
      <c r="K172" s="3" t="s">
        <v>733</v>
      </c>
      <c r="L172" s="3" t="s">
        <v>904</v>
      </c>
      <c r="M172" s="3">
        <v>801.77</v>
      </c>
      <c r="N172" s="3">
        <v>1218.92</v>
      </c>
      <c r="O172" s="3">
        <v>0.254</v>
      </c>
      <c r="P172" s="3">
        <v>16</v>
      </c>
      <c r="Q172" s="3">
        <v>14549.029120000001</v>
      </c>
      <c r="R172" s="3">
        <f t="shared" si="10"/>
        <v>12828.32</v>
      </c>
      <c r="S172" s="3">
        <v>1720.7091200000013</v>
      </c>
      <c r="T172" s="3">
        <f t="shared" si="11"/>
        <v>0.11826968698788344</v>
      </c>
      <c r="U172" s="3" t="str">
        <f t="shared" si="12"/>
        <v>Jul-2024</v>
      </c>
      <c r="AB172" s="3">
        <f t="shared" si="13"/>
        <v>12828.32</v>
      </c>
      <c r="AC172" s="3">
        <f t="shared" si="14"/>
        <v>15602.176000000001</v>
      </c>
    </row>
    <row r="173" spans="1:29" x14ac:dyDescent="0.35">
      <c r="A173" s="3" t="s">
        <v>186</v>
      </c>
      <c r="B173" s="4">
        <v>45190</v>
      </c>
      <c r="C173" s="4">
        <v>45209</v>
      </c>
      <c r="D173" s="5">
        <v>19</v>
      </c>
      <c r="E173" s="3" t="s">
        <v>647</v>
      </c>
      <c r="F173" s="3" t="s">
        <v>652</v>
      </c>
      <c r="G173" s="3" t="s">
        <v>689</v>
      </c>
      <c r="H173" s="3" t="s">
        <v>702</v>
      </c>
      <c r="I173" s="3" t="s">
        <v>708</v>
      </c>
      <c r="J173" s="3" t="s">
        <v>726</v>
      </c>
      <c r="K173" s="3" t="s">
        <v>727</v>
      </c>
      <c r="L173" s="3" t="s">
        <v>905</v>
      </c>
      <c r="M173" s="3">
        <v>845.63</v>
      </c>
      <c r="N173" s="3">
        <v>2062.12</v>
      </c>
      <c r="O173" s="3">
        <v>0.13400000000000001</v>
      </c>
      <c r="P173" s="3">
        <v>5</v>
      </c>
      <c r="Q173" s="3">
        <v>8928.9795999999988</v>
      </c>
      <c r="R173" s="3">
        <f t="shared" si="10"/>
        <v>4228.1499999999996</v>
      </c>
      <c r="S173" s="3">
        <v>4700.8295999999991</v>
      </c>
      <c r="T173" s="3">
        <f t="shared" si="11"/>
        <v>0.52646884757133949</v>
      </c>
      <c r="U173" s="3" t="str">
        <f t="shared" si="12"/>
        <v>Sep-2023</v>
      </c>
      <c r="AB173" s="3">
        <f t="shared" si="13"/>
        <v>4228.1499999999996</v>
      </c>
      <c r="AC173" s="3">
        <f t="shared" si="14"/>
        <v>8928.9795999999988</v>
      </c>
    </row>
    <row r="174" spans="1:29" x14ac:dyDescent="0.35">
      <c r="A174" s="3" t="s">
        <v>187</v>
      </c>
      <c r="B174" s="4">
        <v>44981</v>
      </c>
      <c r="C174" s="4">
        <v>44994</v>
      </c>
      <c r="D174" s="5">
        <v>13</v>
      </c>
      <c r="E174" s="3" t="s">
        <v>648</v>
      </c>
      <c r="F174" s="3" t="s">
        <v>660</v>
      </c>
      <c r="G174" s="3" t="s">
        <v>700</v>
      </c>
      <c r="H174" s="3" t="s">
        <v>706</v>
      </c>
      <c r="I174" s="3" t="s">
        <v>708</v>
      </c>
      <c r="J174" s="3" t="s">
        <v>724</v>
      </c>
      <c r="K174" s="3" t="s">
        <v>727</v>
      </c>
      <c r="L174" s="3" t="s">
        <v>906</v>
      </c>
      <c r="M174" s="3">
        <v>6.85</v>
      </c>
      <c r="N174" s="3">
        <v>10.18</v>
      </c>
      <c r="O174" s="3">
        <v>4.7E-2</v>
      </c>
      <c r="P174" s="3">
        <v>10</v>
      </c>
      <c r="Q174" s="3">
        <v>97.0154</v>
      </c>
      <c r="R174" s="3">
        <f t="shared" si="10"/>
        <v>68.5</v>
      </c>
      <c r="S174" s="3">
        <v>28.5154</v>
      </c>
      <c r="T174" s="3">
        <f t="shared" si="11"/>
        <v>0.2939265312517394</v>
      </c>
      <c r="U174" s="3" t="str">
        <f t="shared" si="12"/>
        <v>Feb-2023</v>
      </c>
      <c r="AB174" s="3">
        <f t="shared" si="13"/>
        <v>68.5</v>
      </c>
      <c r="AC174" s="3">
        <f t="shared" si="14"/>
        <v>97.0154</v>
      </c>
    </row>
    <row r="175" spans="1:29" x14ac:dyDescent="0.35">
      <c r="A175" s="3" t="s">
        <v>188</v>
      </c>
      <c r="B175" s="4">
        <v>45798</v>
      </c>
      <c r="C175" s="4">
        <v>45796</v>
      </c>
      <c r="D175" s="5">
        <v>2</v>
      </c>
      <c r="E175" s="3" t="s">
        <v>646</v>
      </c>
      <c r="F175" s="3" t="s">
        <v>661</v>
      </c>
      <c r="G175" s="3" t="s">
        <v>682</v>
      </c>
      <c r="H175" s="3" t="s">
        <v>703</v>
      </c>
      <c r="I175" s="3" t="s">
        <v>710</v>
      </c>
      <c r="J175" s="3" t="s">
        <v>719</v>
      </c>
      <c r="K175" s="3" t="s">
        <v>731</v>
      </c>
      <c r="L175" s="3" t="s">
        <v>907</v>
      </c>
      <c r="M175" s="3">
        <v>1263.8399999999999</v>
      </c>
      <c r="N175" s="3">
        <v>2281.7199999999998</v>
      </c>
      <c r="O175" s="3">
        <v>7.8E-2</v>
      </c>
      <c r="P175" s="3">
        <v>15</v>
      </c>
      <c r="Q175" s="3">
        <v>31556.187599999997</v>
      </c>
      <c r="R175" s="3">
        <f t="shared" si="10"/>
        <v>18957.599999999999</v>
      </c>
      <c r="S175" s="3">
        <v>12598.587599999999</v>
      </c>
      <c r="T175" s="3">
        <f t="shared" si="11"/>
        <v>0.39924301882398494</v>
      </c>
      <c r="U175" s="3" t="str">
        <f t="shared" si="12"/>
        <v>May-2025</v>
      </c>
      <c r="AB175" s="3">
        <f t="shared" si="13"/>
        <v>18957.599999999999</v>
      </c>
      <c r="AC175" s="3">
        <f t="shared" si="14"/>
        <v>31556.187599999997</v>
      </c>
    </row>
    <row r="176" spans="1:29" x14ac:dyDescent="0.35">
      <c r="A176" s="3" t="s">
        <v>189</v>
      </c>
      <c r="B176" s="4">
        <v>45435</v>
      </c>
      <c r="C176" s="4">
        <v>45446</v>
      </c>
      <c r="D176" s="5">
        <v>11</v>
      </c>
      <c r="E176" s="3" t="s">
        <v>646</v>
      </c>
      <c r="F176" s="3" t="s">
        <v>661</v>
      </c>
      <c r="G176" s="3" t="s">
        <v>682</v>
      </c>
      <c r="H176" s="3" t="s">
        <v>705</v>
      </c>
      <c r="I176" s="3" t="s">
        <v>710</v>
      </c>
      <c r="J176" s="3" t="s">
        <v>721</v>
      </c>
      <c r="K176" s="3" t="s">
        <v>728</v>
      </c>
      <c r="L176" s="3" t="s">
        <v>908</v>
      </c>
      <c r="M176" s="3">
        <v>180.89</v>
      </c>
      <c r="N176" s="3">
        <v>249.57</v>
      </c>
      <c r="O176" s="3">
        <v>2.1999999999999999E-2</v>
      </c>
      <c r="P176" s="3">
        <v>8</v>
      </c>
      <c r="Q176" s="3">
        <v>1952.6356799999999</v>
      </c>
      <c r="R176" s="3">
        <f t="shared" si="10"/>
        <v>1447.12</v>
      </c>
      <c r="S176" s="3">
        <v>505.51567999999997</v>
      </c>
      <c r="T176" s="3">
        <f t="shared" si="11"/>
        <v>0.25888888806948362</v>
      </c>
      <c r="U176" s="3" t="str">
        <f t="shared" si="12"/>
        <v>May-2024</v>
      </c>
      <c r="AB176" s="3">
        <f t="shared" si="13"/>
        <v>1447.12</v>
      </c>
      <c r="AC176" s="3">
        <f t="shared" si="14"/>
        <v>1952.6356799999999</v>
      </c>
    </row>
    <row r="177" spans="1:29" x14ac:dyDescent="0.35">
      <c r="A177" s="3" t="s">
        <v>190</v>
      </c>
      <c r="B177" s="4">
        <v>45761</v>
      </c>
      <c r="C177" s="4">
        <v>45781</v>
      </c>
      <c r="D177" s="5">
        <v>20</v>
      </c>
      <c r="E177" s="3" t="s">
        <v>649</v>
      </c>
      <c r="F177" s="3" t="s">
        <v>658</v>
      </c>
      <c r="G177" s="3" t="s">
        <v>674</v>
      </c>
      <c r="H177" s="3" t="s">
        <v>706</v>
      </c>
      <c r="I177" s="3" t="s">
        <v>709</v>
      </c>
      <c r="J177" s="3" t="s">
        <v>723</v>
      </c>
      <c r="K177" s="3" t="s">
        <v>732</v>
      </c>
      <c r="L177" s="3" t="s">
        <v>909</v>
      </c>
      <c r="M177" s="3">
        <v>1413.87</v>
      </c>
      <c r="N177" s="3">
        <v>3275</v>
      </c>
      <c r="O177" s="3">
        <v>0.255</v>
      </c>
      <c r="P177" s="3">
        <v>38</v>
      </c>
      <c r="Q177" s="3">
        <v>92715.25</v>
      </c>
      <c r="R177" s="3">
        <f t="shared" si="10"/>
        <v>53727.06</v>
      </c>
      <c r="S177" s="3">
        <v>38988.19</v>
      </c>
      <c r="T177" s="3">
        <f t="shared" si="11"/>
        <v>0.42051539525590453</v>
      </c>
      <c r="U177" s="3" t="str">
        <f t="shared" si="12"/>
        <v>Apr-2025</v>
      </c>
      <c r="AB177" s="3">
        <f t="shared" si="13"/>
        <v>53727.06</v>
      </c>
      <c r="AC177" s="3">
        <f t="shared" si="14"/>
        <v>99560</v>
      </c>
    </row>
    <row r="178" spans="1:29" x14ac:dyDescent="0.35">
      <c r="A178" s="3" t="s">
        <v>191</v>
      </c>
      <c r="B178" s="4">
        <v>45165</v>
      </c>
      <c r="C178" s="4">
        <v>45180</v>
      </c>
      <c r="D178" s="5">
        <v>15</v>
      </c>
      <c r="E178" s="3" t="s">
        <v>649</v>
      </c>
      <c r="F178" s="3" t="s">
        <v>658</v>
      </c>
      <c r="G178" s="3" t="s">
        <v>683</v>
      </c>
      <c r="H178" s="3" t="s">
        <v>704</v>
      </c>
      <c r="I178" s="3" t="s">
        <v>709</v>
      </c>
      <c r="J178" s="3" t="s">
        <v>725</v>
      </c>
      <c r="K178" s="3" t="s">
        <v>728</v>
      </c>
      <c r="L178" s="3" t="s">
        <v>910</v>
      </c>
      <c r="M178" s="3">
        <v>943.79</v>
      </c>
      <c r="N178" s="3">
        <v>1913.76</v>
      </c>
      <c r="O178" s="3">
        <v>9.0999999999999998E-2</v>
      </c>
      <c r="P178" s="3">
        <v>9</v>
      </c>
      <c r="Q178" s="3">
        <v>15656.47056</v>
      </c>
      <c r="R178" s="3">
        <f t="shared" si="10"/>
        <v>8494.11</v>
      </c>
      <c r="S178" s="3">
        <v>7162.3605599999992</v>
      </c>
      <c r="T178" s="3">
        <f t="shared" si="11"/>
        <v>0.45746967891338081</v>
      </c>
      <c r="U178" s="3" t="str">
        <f t="shared" si="12"/>
        <v>Aug-2023</v>
      </c>
      <c r="AB178" s="3">
        <f t="shared" si="13"/>
        <v>8494.11</v>
      </c>
      <c r="AC178" s="3">
        <f t="shared" si="14"/>
        <v>15656.47056</v>
      </c>
    </row>
    <row r="179" spans="1:29" x14ac:dyDescent="0.35">
      <c r="A179" s="3" t="s">
        <v>192</v>
      </c>
      <c r="B179" s="4">
        <v>45325</v>
      </c>
      <c r="C179" s="4">
        <v>45343</v>
      </c>
      <c r="D179" s="5">
        <v>18</v>
      </c>
      <c r="E179" s="3" t="s">
        <v>649</v>
      </c>
      <c r="F179" s="3" t="s">
        <v>656</v>
      </c>
      <c r="G179" s="3" t="s">
        <v>698</v>
      </c>
      <c r="H179" s="3" t="s">
        <v>701</v>
      </c>
      <c r="I179" s="3" t="s">
        <v>707</v>
      </c>
      <c r="J179" s="3" t="s">
        <v>722</v>
      </c>
      <c r="K179" s="3" t="s">
        <v>727</v>
      </c>
      <c r="L179" s="3" t="s">
        <v>911</v>
      </c>
      <c r="M179" s="3">
        <v>39.229999999999997</v>
      </c>
      <c r="N179" s="3">
        <v>30.09</v>
      </c>
      <c r="O179" s="3">
        <v>0.17699999999999999</v>
      </c>
      <c r="P179" s="3">
        <v>13</v>
      </c>
      <c r="Q179" s="3">
        <v>321.93290999999999</v>
      </c>
      <c r="R179" s="3">
        <f t="shared" si="10"/>
        <v>509.98999999999995</v>
      </c>
      <c r="S179" s="3">
        <v>188.05708999999996</v>
      </c>
      <c r="T179" s="3">
        <f t="shared" si="11"/>
        <v>0.58414993981199359</v>
      </c>
      <c r="U179" s="3" t="str">
        <f t="shared" si="12"/>
        <v>Feb-2024</v>
      </c>
      <c r="AB179" s="3">
        <f t="shared" si="13"/>
        <v>509.98999999999995</v>
      </c>
      <c r="AC179" s="3">
        <f t="shared" si="14"/>
        <v>321.93290999999999</v>
      </c>
    </row>
    <row r="180" spans="1:29" x14ac:dyDescent="0.35">
      <c r="A180" s="3" t="s">
        <v>193</v>
      </c>
      <c r="B180" s="4">
        <v>45021</v>
      </c>
      <c r="C180" s="4">
        <v>45032</v>
      </c>
      <c r="D180" s="5">
        <v>11</v>
      </c>
      <c r="E180" s="3" t="s">
        <v>648</v>
      </c>
      <c r="F180" s="3" t="s">
        <v>653</v>
      </c>
      <c r="G180" s="3" t="s">
        <v>688</v>
      </c>
      <c r="H180" s="3" t="s">
        <v>703</v>
      </c>
      <c r="I180" s="3" t="s">
        <v>708</v>
      </c>
      <c r="J180" s="3" t="s">
        <v>719</v>
      </c>
      <c r="K180" s="3" t="s">
        <v>732</v>
      </c>
      <c r="L180" s="3" t="s">
        <v>912</v>
      </c>
      <c r="M180" s="3">
        <v>213.1</v>
      </c>
      <c r="N180" s="3">
        <v>501.31</v>
      </c>
      <c r="O180" s="3">
        <v>5.6000000000000001E-2</v>
      </c>
      <c r="P180" s="3">
        <v>15</v>
      </c>
      <c r="Q180" s="3">
        <v>7098.5495999999994</v>
      </c>
      <c r="R180" s="3">
        <f t="shared" si="10"/>
        <v>3196.5</v>
      </c>
      <c r="S180" s="3">
        <v>3902.0495999999994</v>
      </c>
      <c r="T180" s="3">
        <f t="shared" si="11"/>
        <v>0.54969674368409005</v>
      </c>
      <c r="U180" s="3" t="str">
        <f t="shared" si="12"/>
        <v>Apr-2023</v>
      </c>
      <c r="AB180" s="3">
        <f t="shared" si="13"/>
        <v>3196.5</v>
      </c>
      <c r="AC180" s="3">
        <f t="shared" si="14"/>
        <v>7098.5495999999994</v>
      </c>
    </row>
    <row r="181" spans="1:29" x14ac:dyDescent="0.35">
      <c r="A181" s="3" t="s">
        <v>194</v>
      </c>
      <c r="B181" s="4">
        <v>45890</v>
      </c>
      <c r="C181" s="4">
        <v>45912</v>
      </c>
      <c r="D181" s="5">
        <v>22</v>
      </c>
      <c r="E181" s="3" t="s">
        <v>647</v>
      </c>
      <c r="F181" s="3" t="s">
        <v>659</v>
      </c>
      <c r="G181" s="3" t="s">
        <v>676</v>
      </c>
      <c r="H181" s="3" t="s">
        <v>702</v>
      </c>
      <c r="I181" s="3" t="s">
        <v>707</v>
      </c>
      <c r="J181" s="3" t="s">
        <v>717</v>
      </c>
      <c r="K181" s="3" t="s">
        <v>728</v>
      </c>
      <c r="L181" s="3" t="s">
        <v>913</v>
      </c>
      <c r="M181" s="3">
        <v>352.66</v>
      </c>
      <c r="N181" s="3">
        <v>411.18</v>
      </c>
      <c r="O181" s="3">
        <v>0.17299999999999999</v>
      </c>
      <c r="P181" s="3">
        <v>13</v>
      </c>
      <c r="Q181" s="3">
        <v>4420.5961799999995</v>
      </c>
      <c r="R181" s="3">
        <f t="shared" si="10"/>
        <v>4584.58</v>
      </c>
      <c r="S181" s="3">
        <v>163.98382000000038</v>
      </c>
      <c r="T181" s="3">
        <f t="shared" si="11"/>
        <v>3.7095408248758066E-2</v>
      </c>
      <c r="U181" s="3" t="str">
        <f t="shared" si="12"/>
        <v>Aug-2025</v>
      </c>
      <c r="AB181" s="3">
        <f t="shared" si="13"/>
        <v>4584.58</v>
      </c>
      <c r="AC181" s="3">
        <f t="shared" si="14"/>
        <v>4420.5961799999995</v>
      </c>
    </row>
    <row r="182" spans="1:29" x14ac:dyDescent="0.35">
      <c r="A182" s="3" t="s">
        <v>195</v>
      </c>
      <c r="B182" s="4">
        <v>45915</v>
      </c>
      <c r="C182" s="4">
        <v>45918</v>
      </c>
      <c r="D182" s="5">
        <v>3</v>
      </c>
      <c r="E182" s="3" t="s">
        <v>648</v>
      </c>
      <c r="F182" s="3" t="s">
        <v>655</v>
      </c>
      <c r="G182" s="3" t="s">
        <v>692</v>
      </c>
      <c r="H182" s="3" t="s">
        <v>703</v>
      </c>
      <c r="I182" s="3" t="s">
        <v>711</v>
      </c>
      <c r="J182" s="3" t="s">
        <v>716</v>
      </c>
      <c r="K182" s="3" t="s">
        <v>733</v>
      </c>
      <c r="L182" s="3" t="s">
        <v>914</v>
      </c>
      <c r="M182" s="3">
        <v>5.5</v>
      </c>
      <c r="N182" s="3">
        <v>5.92</v>
      </c>
      <c r="O182" s="3">
        <v>0.21199999999999999</v>
      </c>
      <c r="P182" s="3">
        <v>4</v>
      </c>
      <c r="Q182" s="3">
        <v>18.659839999999999</v>
      </c>
      <c r="R182" s="3">
        <f t="shared" si="10"/>
        <v>22</v>
      </c>
      <c r="S182" s="3">
        <v>3.3401600000000009</v>
      </c>
      <c r="T182" s="3">
        <f t="shared" si="11"/>
        <v>0.17900260666758133</v>
      </c>
      <c r="U182" s="3" t="str">
        <f t="shared" si="12"/>
        <v>Sep-2025</v>
      </c>
      <c r="AB182" s="3">
        <f t="shared" si="13"/>
        <v>22</v>
      </c>
      <c r="AC182" s="3">
        <f t="shared" si="14"/>
        <v>18.943999999999999</v>
      </c>
    </row>
    <row r="183" spans="1:29" x14ac:dyDescent="0.35">
      <c r="A183" s="3" t="s">
        <v>196</v>
      </c>
      <c r="B183" s="4">
        <v>45568</v>
      </c>
      <c r="C183" s="4">
        <v>45576</v>
      </c>
      <c r="D183" s="5">
        <v>8</v>
      </c>
      <c r="E183" s="3" t="s">
        <v>647</v>
      </c>
      <c r="F183" s="3" t="s">
        <v>659</v>
      </c>
      <c r="G183" s="3" t="s">
        <v>699</v>
      </c>
      <c r="H183" s="3" t="s">
        <v>706</v>
      </c>
      <c r="I183" s="3" t="s">
        <v>711</v>
      </c>
      <c r="J183" s="3" t="s">
        <v>717</v>
      </c>
      <c r="K183" s="3" t="s">
        <v>730</v>
      </c>
      <c r="L183" s="3" t="s">
        <v>915</v>
      </c>
      <c r="M183" s="3">
        <v>1132.6099999999999</v>
      </c>
      <c r="N183" s="3">
        <v>2206.63</v>
      </c>
      <c r="O183" s="3">
        <v>6.3E-2</v>
      </c>
      <c r="P183" s="3">
        <v>20</v>
      </c>
      <c r="Q183" s="3">
        <v>41352.246200000009</v>
      </c>
      <c r="R183" s="3">
        <f t="shared" si="10"/>
        <v>22652.199999999997</v>
      </c>
      <c r="S183" s="3">
        <v>18700.046200000012</v>
      </c>
      <c r="T183" s="3">
        <f t="shared" si="11"/>
        <v>0.45221355351671338</v>
      </c>
      <c r="U183" s="3" t="str">
        <f t="shared" si="12"/>
        <v>Oct-2024</v>
      </c>
      <c r="AB183" s="3">
        <f t="shared" si="13"/>
        <v>22652.199999999997</v>
      </c>
      <c r="AC183" s="3">
        <f t="shared" si="14"/>
        <v>41352.246200000009</v>
      </c>
    </row>
    <row r="184" spans="1:29" x14ac:dyDescent="0.35">
      <c r="A184" s="3" t="s">
        <v>197</v>
      </c>
      <c r="B184" s="4">
        <v>45690</v>
      </c>
      <c r="C184" s="4">
        <v>45720</v>
      </c>
      <c r="D184" s="5">
        <v>30</v>
      </c>
      <c r="E184" s="3" t="s">
        <v>647</v>
      </c>
      <c r="F184" s="3" t="s">
        <v>652</v>
      </c>
      <c r="G184" s="3" t="s">
        <v>666</v>
      </c>
      <c r="H184" s="3" t="s">
        <v>702</v>
      </c>
      <c r="I184" s="3" t="s">
        <v>710</v>
      </c>
      <c r="J184" s="3" t="s">
        <v>716</v>
      </c>
      <c r="K184" s="3" t="s">
        <v>733</v>
      </c>
      <c r="L184" s="3" t="s">
        <v>916</v>
      </c>
      <c r="M184" s="3">
        <v>766.59</v>
      </c>
      <c r="N184" s="3">
        <v>1912.8</v>
      </c>
      <c r="O184" s="3">
        <v>0.19600000000000001</v>
      </c>
      <c r="P184" s="3">
        <v>5</v>
      </c>
      <c r="Q184" s="3">
        <v>7689.4560000000001</v>
      </c>
      <c r="R184" s="3">
        <f t="shared" si="10"/>
        <v>3832.9500000000003</v>
      </c>
      <c r="S184" s="3">
        <v>3856.5059999999999</v>
      </c>
      <c r="T184" s="3">
        <f t="shared" si="11"/>
        <v>0.50153170783472845</v>
      </c>
      <c r="U184" s="3" t="str">
        <f t="shared" si="12"/>
        <v>Feb-2025</v>
      </c>
      <c r="AB184" s="3">
        <f t="shared" si="13"/>
        <v>3832.9500000000003</v>
      </c>
      <c r="AC184" s="3">
        <f t="shared" si="14"/>
        <v>7689.4560000000001</v>
      </c>
    </row>
    <row r="185" spans="1:29" x14ac:dyDescent="0.35">
      <c r="A185" s="3" t="s">
        <v>198</v>
      </c>
      <c r="B185" s="4">
        <v>45157</v>
      </c>
      <c r="C185" s="4">
        <v>45161</v>
      </c>
      <c r="D185" s="5">
        <v>4</v>
      </c>
      <c r="E185" s="3" t="s">
        <v>646</v>
      </c>
      <c r="F185" s="3" t="s">
        <v>651</v>
      </c>
      <c r="G185" s="3" t="s">
        <v>669</v>
      </c>
      <c r="H185" s="3" t="s">
        <v>705</v>
      </c>
      <c r="I185" s="3" t="s">
        <v>708</v>
      </c>
      <c r="J185" s="3" t="s">
        <v>713</v>
      </c>
      <c r="K185" s="3" t="s">
        <v>732</v>
      </c>
      <c r="L185" s="3" t="s">
        <v>917</v>
      </c>
      <c r="M185" s="3">
        <v>790.63</v>
      </c>
      <c r="N185" s="3">
        <v>1382.31</v>
      </c>
      <c r="O185" s="3">
        <v>0.10100000000000001</v>
      </c>
      <c r="P185" s="3">
        <v>7</v>
      </c>
      <c r="Q185" s="3">
        <v>8698.8768300000011</v>
      </c>
      <c r="R185" s="3">
        <f t="shared" si="10"/>
        <v>5534.41</v>
      </c>
      <c r="S185" s="3">
        <v>3164.4668300000012</v>
      </c>
      <c r="T185" s="3">
        <f t="shared" si="11"/>
        <v>0.36377878338116448</v>
      </c>
      <c r="U185" s="3" t="str">
        <f t="shared" si="12"/>
        <v>Aug-2023</v>
      </c>
      <c r="AB185" s="3">
        <f t="shared" si="13"/>
        <v>5534.41</v>
      </c>
      <c r="AC185" s="3">
        <f t="shared" si="14"/>
        <v>8698.8768300000011</v>
      </c>
    </row>
    <row r="186" spans="1:29" x14ac:dyDescent="0.35">
      <c r="A186" s="3" t="s">
        <v>199</v>
      </c>
      <c r="B186" s="4">
        <v>45587</v>
      </c>
      <c r="C186" s="4">
        <v>45594</v>
      </c>
      <c r="D186" s="5">
        <v>7</v>
      </c>
      <c r="E186" s="3" t="s">
        <v>646</v>
      </c>
      <c r="F186" s="3" t="s">
        <v>651</v>
      </c>
      <c r="G186" s="3" t="s">
        <v>663</v>
      </c>
      <c r="H186" s="3" t="s">
        <v>706</v>
      </c>
      <c r="I186" s="3" t="s">
        <v>710</v>
      </c>
      <c r="J186" s="3" t="s">
        <v>724</v>
      </c>
      <c r="K186" s="3" t="s">
        <v>732</v>
      </c>
      <c r="L186" s="3" t="s">
        <v>918</v>
      </c>
      <c r="M186" s="3">
        <v>1023.06</v>
      </c>
      <c r="N186" s="3">
        <v>1355.61</v>
      </c>
      <c r="O186" s="3">
        <v>0.153</v>
      </c>
      <c r="P186" s="3">
        <v>23</v>
      </c>
      <c r="Q186" s="3">
        <v>26408.63841</v>
      </c>
      <c r="R186" s="3">
        <f t="shared" si="10"/>
        <v>23530.379999999997</v>
      </c>
      <c r="S186" s="3">
        <v>2878.2584100000022</v>
      </c>
      <c r="T186" s="3">
        <f t="shared" si="11"/>
        <v>0.10898927711888809</v>
      </c>
      <c r="U186" s="3" t="str">
        <f t="shared" si="12"/>
        <v>Oct-2024</v>
      </c>
      <c r="AB186" s="3">
        <f t="shared" si="13"/>
        <v>23530.379999999997</v>
      </c>
      <c r="AC186" s="3">
        <f t="shared" si="14"/>
        <v>26408.63841</v>
      </c>
    </row>
    <row r="187" spans="1:29" x14ac:dyDescent="0.35">
      <c r="A187" s="3" t="s">
        <v>200</v>
      </c>
      <c r="B187" s="4">
        <v>45099</v>
      </c>
      <c r="C187" s="4">
        <v>45128</v>
      </c>
      <c r="D187" s="5">
        <v>29</v>
      </c>
      <c r="E187" s="3" t="s">
        <v>649</v>
      </c>
      <c r="F187" s="3" t="s">
        <v>657</v>
      </c>
      <c r="G187" s="3" t="s">
        <v>679</v>
      </c>
      <c r="H187" s="3" t="s">
        <v>701</v>
      </c>
      <c r="I187" s="3" t="s">
        <v>707</v>
      </c>
      <c r="J187" s="3" t="s">
        <v>713</v>
      </c>
      <c r="K187" s="3" t="s">
        <v>733</v>
      </c>
      <c r="L187" s="3" t="s">
        <v>919</v>
      </c>
      <c r="M187" s="3">
        <v>734.34</v>
      </c>
      <c r="N187" s="3">
        <v>887.9</v>
      </c>
      <c r="O187" s="3">
        <v>2.5000000000000001E-2</v>
      </c>
      <c r="P187" s="3">
        <v>12</v>
      </c>
      <c r="Q187" s="3">
        <v>10388.429999999998</v>
      </c>
      <c r="R187" s="3">
        <f t="shared" si="10"/>
        <v>8812.08</v>
      </c>
      <c r="S187" s="3">
        <v>1576.3499999999985</v>
      </c>
      <c r="T187" s="3">
        <f t="shared" si="11"/>
        <v>0.15174092716608753</v>
      </c>
      <c r="U187" s="3" t="str">
        <f t="shared" si="12"/>
        <v>Jun-2023</v>
      </c>
      <c r="AB187" s="3">
        <f t="shared" si="13"/>
        <v>8812.08</v>
      </c>
      <c r="AC187" s="3">
        <f t="shared" si="14"/>
        <v>10388.429999999998</v>
      </c>
    </row>
    <row r="188" spans="1:29" x14ac:dyDescent="0.35">
      <c r="A188" s="3" t="s">
        <v>201</v>
      </c>
      <c r="B188" s="4">
        <v>45670</v>
      </c>
      <c r="C188" s="4">
        <v>45696</v>
      </c>
      <c r="D188" s="5">
        <v>26</v>
      </c>
      <c r="E188" s="3" t="s">
        <v>649</v>
      </c>
      <c r="F188" s="3" t="s">
        <v>657</v>
      </c>
      <c r="G188" s="3" t="s">
        <v>690</v>
      </c>
      <c r="H188" s="3" t="s">
        <v>703</v>
      </c>
      <c r="I188" s="3" t="s">
        <v>1422</v>
      </c>
      <c r="J188" s="3" t="s">
        <v>718</v>
      </c>
      <c r="K188" s="3" t="s">
        <v>732</v>
      </c>
      <c r="L188" s="3" t="s">
        <v>920</v>
      </c>
      <c r="M188" s="3">
        <v>594.74</v>
      </c>
      <c r="N188" s="3">
        <v>1020.69</v>
      </c>
      <c r="O188" s="3">
        <v>0.21099999999999999</v>
      </c>
      <c r="P188" s="3">
        <v>6</v>
      </c>
      <c r="Q188" s="3">
        <v>4831.9464600000001</v>
      </c>
      <c r="R188" s="3">
        <f t="shared" si="10"/>
        <v>3568.44</v>
      </c>
      <c r="S188" s="3">
        <v>1263.5064600000001</v>
      </c>
      <c r="T188" s="3">
        <f t="shared" si="11"/>
        <v>0.26149016146176424</v>
      </c>
      <c r="U188" s="3" t="str">
        <f t="shared" si="12"/>
        <v>Jan-2025</v>
      </c>
      <c r="AB188" s="3">
        <f t="shared" si="13"/>
        <v>3568.44</v>
      </c>
      <c r="AC188" s="3">
        <f t="shared" si="14"/>
        <v>4899.3120000000008</v>
      </c>
    </row>
    <row r="189" spans="1:29" x14ac:dyDescent="0.35">
      <c r="A189" s="3" t="s">
        <v>144</v>
      </c>
      <c r="B189" s="4">
        <v>44955</v>
      </c>
      <c r="C189" s="4">
        <v>44985</v>
      </c>
      <c r="D189" s="5">
        <v>30</v>
      </c>
      <c r="E189" s="3" t="s">
        <v>647</v>
      </c>
      <c r="F189" s="3" t="s">
        <v>654</v>
      </c>
      <c r="G189" s="3" t="s">
        <v>668</v>
      </c>
      <c r="H189" s="3" t="s">
        <v>703</v>
      </c>
      <c r="I189" s="3" t="s">
        <v>707</v>
      </c>
      <c r="J189" s="3" t="s">
        <v>717</v>
      </c>
      <c r="K189" s="3" t="s">
        <v>733</v>
      </c>
      <c r="L189" s="3" t="s">
        <v>921</v>
      </c>
      <c r="M189" s="3">
        <v>1262.0999999999999</v>
      </c>
      <c r="N189" s="3">
        <v>1395.53</v>
      </c>
      <c r="O189" s="3">
        <v>0.23300000000000001</v>
      </c>
      <c r="P189" s="3">
        <v>25</v>
      </c>
      <c r="Q189" s="3">
        <v>26759.28775</v>
      </c>
      <c r="R189" s="3">
        <f t="shared" si="10"/>
        <v>31552.499999999996</v>
      </c>
      <c r="S189" s="3">
        <v>4793.2122499999969</v>
      </c>
      <c r="T189" s="3">
        <f t="shared" si="11"/>
        <v>0.17912331205452198</v>
      </c>
      <c r="U189" s="3" t="str">
        <f t="shared" si="12"/>
        <v>Jan-2023</v>
      </c>
      <c r="AB189" s="3">
        <f t="shared" si="13"/>
        <v>31552.499999999996</v>
      </c>
      <c r="AC189" s="3">
        <f t="shared" si="14"/>
        <v>27910.600000000002</v>
      </c>
    </row>
    <row r="190" spans="1:29" x14ac:dyDescent="0.35">
      <c r="A190" s="3" t="s">
        <v>202</v>
      </c>
      <c r="B190" s="4">
        <v>45126</v>
      </c>
      <c r="C190" s="4">
        <v>45138</v>
      </c>
      <c r="D190" s="5">
        <v>12</v>
      </c>
      <c r="E190" s="3" t="s">
        <v>648</v>
      </c>
      <c r="F190" s="3" t="s">
        <v>655</v>
      </c>
      <c r="G190" s="3" t="s">
        <v>692</v>
      </c>
      <c r="H190" s="3" t="s">
        <v>701</v>
      </c>
      <c r="I190" s="3" t="s">
        <v>707</v>
      </c>
      <c r="J190" s="3" t="s">
        <v>712</v>
      </c>
      <c r="K190" s="3" t="s">
        <v>732</v>
      </c>
      <c r="L190" s="3" t="s">
        <v>922</v>
      </c>
      <c r="M190" s="3">
        <v>1334.64</v>
      </c>
      <c r="N190" s="3">
        <v>2273.42</v>
      </c>
      <c r="O190" s="3">
        <v>0.11799999999999999</v>
      </c>
      <c r="P190" s="3">
        <v>14</v>
      </c>
      <c r="Q190" s="3">
        <v>28072.190160000002</v>
      </c>
      <c r="R190" s="3">
        <f t="shared" si="10"/>
        <v>18684.960000000003</v>
      </c>
      <c r="S190" s="3">
        <v>9387.2301599999992</v>
      </c>
      <c r="T190" s="3">
        <f t="shared" si="11"/>
        <v>0.33439607335575267</v>
      </c>
      <c r="U190" s="3" t="str">
        <f t="shared" si="12"/>
        <v>Jul-2023</v>
      </c>
      <c r="AB190" s="3">
        <f t="shared" si="13"/>
        <v>18684.960000000003</v>
      </c>
      <c r="AC190" s="3">
        <f t="shared" si="14"/>
        <v>28072.190160000002</v>
      </c>
    </row>
    <row r="191" spans="1:29" x14ac:dyDescent="0.35">
      <c r="A191" s="3" t="s">
        <v>203</v>
      </c>
      <c r="B191" s="4">
        <v>45431</v>
      </c>
      <c r="C191" s="4">
        <v>45451</v>
      </c>
      <c r="D191" s="5">
        <v>20</v>
      </c>
      <c r="E191" s="3" t="s">
        <v>648</v>
      </c>
      <c r="F191" s="3" t="s">
        <v>655</v>
      </c>
      <c r="G191" s="3" t="s">
        <v>672</v>
      </c>
      <c r="H191" s="3" t="s">
        <v>705</v>
      </c>
      <c r="I191" s="3" t="s">
        <v>707</v>
      </c>
      <c r="J191" s="3" t="s">
        <v>718</v>
      </c>
      <c r="K191" s="3" t="s">
        <v>732</v>
      </c>
      <c r="L191" s="3" t="s">
        <v>923</v>
      </c>
      <c r="M191" s="3">
        <v>1075.9000000000001</v>
      </c>
      <c r="N191" s="3">
        <v>1242.1500000000001</v>
      </c>
      <c r="O191" s="3">
        <v>1.2E-2</v>
      </c>
      <c r="P191" s="3">
        <v>7</v>
      </c>
      <c r="Q191" s="3">
        <v>8590.7094000000016</v>
      </c>
      <c r="R191" s="3">
        <f t="shared" si="10"/>
        <v>7531.3000000000011</v>
      </c>
      <c r="S191" s="3">
        <v>1059.4094000000005</v>
      </c>
      <c r="T191" s="3">
        <f t="shared" si="11"/>
        <v>0.12332036280961853</v>
      </c>
      <c r="U191" s="3" t="str">
        <f t="shared" si="12"/>
        <v>May-2024</v>
      </c>
      <c r="AB191" s="3">
        <f t="shared" si="13"/>
        <v>7531.3000000000011</v>
      </c>
      <c r="AC191" s="3">
        <f t="shared" si="14"/>
        <v>8590.7094000000016</v>
      </c>
    </row>
    <row r="192" spans="1:29" x14ac:dyDescent="0.35">
      <c r="A192" s="3" t="s">
        <v>204</v>
      </c>
      <c r="B192" s="4">
        <v>45325</v>
      </c>
      <c r="C192" s="4">
        <v>45341</v>
      </c>
      <c r="D192" s="5">
        <v>16</v>
      </c>
      <c r="E192" s="3" t="s">
        <v>647</v>
      </c>
      <c r="F192" s="3" t="s">
        <v>659</v>
      </c>
      <c r="G192" s="3" t="s">
        <v>676</v>
      </c>
      <c r="H192" s="3" t="s">
        <v>705</v>
      </c>
      <c r="I192" s="3" t="s">
        <v>708</v>
      </c>
      <c r="J192" s="3" t="s">
        <v>722</v>
      </c>
      <c r="K192" s="3" t="s">
        <v>731</v>
      </c>
      <c r="L192" s="3" t="s">
        <v>924</v>
      </c>
      <c r="M192" s="3">
        <v>993.75</v>
      </c>
      <c r="N192" s="3">
        <v>1310.29</v>
      </c>
      <c r="O192" s="3">
        <v>0.215</v>
      </c>
      <c r="P192" s="3">
        <v>19</v>
      </c>
      <c r="Q192" s="3">
        <v>19542.975350000001</v>
      </c>
      <c r="R192" s="3">
        <f t="shared" si="10"/>
        <v>18881.25</v>
      </c>
      <c r="S192" s="3">
        <v>661.72535000000062</v>
      </c>
      <c r="T192" s="3">
        <f t="shared" si="11"/>
        <v>3.3860010471742245E-2</v>
      </c>
      <c r="U192" s="3" t="str">
        <f t="shared" si="12"/>
        <v>Feb-2024</v>
      </c>
      <c r="AB192" s="3">
        <f t="shared" si="13"/>
        <v>18881.25</v>
      </c>
      <c r="AC192" s="3">
        <f t="shared" si="14"/>
        <v>19916.407999999999</v>
      </c>
    </row>
    <row r="193" spans="1:29" x14ac:dyDescent="0.35">
      <c r="A193" s="3" t="s">
        <v>205</v>
      </c>
      <c r="B193" s="4">
        <v>45146</v>
      </c>
      <c r="C193" s="4">
        <v>45160</v>
      </c>
      <c r="D193" s="5">
        <v>14</v>
      </c>
      <c r="E193" s="3" t="s">
        <v>649</v>
      </c>
      <c r="F193" s="3" t="s">
        <v>658</v>
      </c>
      <c r="G193" s="3" t="s">
        <v>674</v>
      </c>
      <c r="H193" s="3" t="s">
        <v>703</v>
      </c>
      <c r="I193" s="3" t="s">
        <v>711</v>
      </c>
      <c r="J193" s="3" t="s">
        <v>725</v>
      </c>
      <c r="K193" s="3" t="s">
        <v>732</v>
      </c>
      <c r="L193" s="3" t="s">
        <v>925</v>
      </c>
      <c r="M193" s="3">
        <v>446.69</v>
      </c>
      <c r="N193" s="3">
        <v>967.25</v>
      </c>
      <c r="O193" s="3">
        <v>9.4E-2</v>
      </c>
      <c r="P193" s="3">
        <v>10</v>
      </c>
      <c r="Q193" s="3">
        <v>8763.2849999999999</v>
      </c>
      <c r="R193" s="3">
        <f t="shared" si="10"/>
        <v>4466.8999999999996</v>
      </c>
      <c r="S193" s="3">
        <v>4296.3850000000002</v>
      </c>
      <c r="T193" s="3">
        <f t="shared" si="11"/>
        <v>0.49027105702941309</v>
      </c>
      <c r="U193" s="3" t="str">
        <f t="shared" si="12"/>
        <v>Aug-2023</v>
      </c>
      <c r="AB193" s="3">
        <f t="shared" si="13"/>
        <v>4466.8999999999996</v>
      </c>
      <c r="AC193" s="3">
        <f t="shared" si="14"/>
        <v>8763.2849999999999</v>
      </c>
    </row>
    <row r="194" spans="1:29" x14ac:dyDescent="0.35">
      <c r="A194" s="3" t="s">
        <v>206</v>
      </c>
      <c r="B194" s="4">
        <v>45516</v>
      </c>
      <c r="C194" s="4">
        <v>45538</v>
      </c>
      <c r="D194" s="5">
        <v>22</v>
      </c>
      <c r="E194" s="3" t="s">
        <v>648</v>
      </c>
      <c r="F194" s="3" t="s">
        <v>660</v>
      </c>
      <c r="G194" s="3" t="s">
        <v>697</v>
      </c>
      <c r="H194" s="3" t="s">
        <v>704</v>
      </c>
      <c r="I194" s="3" t="s">
        <v>710</v>
      </c>
      <c r="J194" s="3" t="s">
        <v>714</v>
      </c>
      <c r="K194" s="3" t="s">
        <v>731</v>
      </c>
      <c r="L194" s="3" t="s">
        <v>926</v>
      </c>
      <c r="M194" s="3">
        <v>797.8</v>
      </c>
      <c r="N194" s="3">
        <v>886.22</v>
      </c>
      <c r="O194" s="3">
        <v>0.23599999999999999</v>
      </c>
      <c r="P194" s="3">
        <v>36</v>
      </c>
      <c r="Q194" s="3">
        <v>24374.594880000001</v>
      </c>
      <c r="R194" s="3">
        <f t="shared" si="10"/>
        <v>28720.799999999999</v>
      </c>
      <c r="S194" s="3">
        <v>4346.2051199999987</v>
      </c>
      <c r="T194" s="3">
        <f t="shared" si="11"/>
        <v>0.17830881462428633</v>
      </c>
      <c r="U194" s="3" t="str">
        <f t="shared" si="12"/>
        <v>Aug-2024</v>
      </c>
      <c r="AB194" s="3">
        <f t="shared" si="13"/>
        <v>28720.799999999999</v>
      </c>
      <c r="AC194" s="3">
        <f t="shared" si="14"/>
        <v>25523.136000000002</v>
      </c>
    </row>
    <row r="195" spans="1:29" x14ac:dyDescent="0.35">
      <c r="A195" s="3" t="s">
        <v>207</v>
      </c>
      <c r="B195" s="4">
        <v>45214</v>
      </c>
      <c r="C195" s="4">
        <v>45243</v>
      </c>
      <c r="D195" s="5">
        <v>29</v>
      </c>
      <c r="E195" s="3" t="s">
        <v>647</v>
      </c>
      <c r="F195" s="3" t="s">
        <v>659</v>
      </c>
      <c r="G195" s="3" t="s">
        <v>676</v>
      </c>
      <c r="H195" s="3" t="s">
        <v>703</v>
      </c>
      <c r="I195" s="3" t="s">
        <v>710</v>
      </c>
      <c r="J195" s="3" t="s">
        <v>713</v>
      </c>
      <c r="K195" s="3" t="s">
        <v>728</v>
      </c>
      <c r="L195" s="3" t="s">
        <v>927</v>
      </c>
      <c r="M195" s="3">
        <v>986.44</v>
      </c>
      <c r="N195" s="3">
        <v>790.61</v>
      </c>
      <c r="O195" s="3">
        <v>7.1999999999999995E-2</v>
      </c>
      <c r="P195" s="3">
        <v>6</v>
      </c>
      <c r="Q195" s="3">
        <v>4402.1164799999997</v>
      </c>
      <c r="R195" s="3">
        <f t="shared" ref="R195:R258" si="15">M195*P195</f>
        <v>5918.64</v>
      </c>
      <c r="S195" s="3">
        <v>1516.5235200000006</v>
      </c>
      <c r="T195" s="3">
        <f t="shared" ref="T195:T258" si="16">IF(Q195=0,0,S195/Q195)</f>
        <v>0.34449872621271499</v>
      </c>
      <c r="U195" s="3" t="str">
        <f t="shared" ref="U195:U258" si="17">TEXT(B195, "mmm-yyyy")</f>
        <v>Oct-2023</v>
      </c>
      <c r="AB195" s="3">
        <f t="shared" ref="AB195:AB258" si="18">M195 * P195 * (1+ $AF$2)</f>
        <v>5918.64</v>
      </c>
      <c r="AC195" s="3">
        <f t="shared" ref="AC195:AC258" si="19">N195 * P195 * (1- MIN(O195, $AF$3))</f>
        <v>4402.1164799999997</v>
      </c>
    </row>
    <row r="196" spans="1:29" x14ac:dyDescent="0.35">
      <c r="A196" s="3" t="s">
        <v>208</v>
      </c>
      <c r="B196" s="4">
        <v>45050</v>
      </c>
      <c r="C196" s="4">
        <v>45072</v>
      </c>
      <c r="D196" s="5">
        <v>22</v>
      </c>
      <c r="E196" s="3" t="s">
        <v>648</v>
      </c>
      <c r="F196" s="3" t="s">
        <v>660</v>
      </c>
      <c r="G196" s="3" t="s">
        <v>686</v>
      </c>
      <c r="H196" s="3" t="s">
        <v>706</v>
      </c>
      <c r="I196" s="3" t="s">
        <v>708</v>
      </c>
      <c r="J196" s="3" t="s">
        <v>713</v>
      </c>
      <c r="K196" s="3" t="s">
        <v>729</v>
      </c>
      <c r="L196" s="3" t="s">
        <v>928</v>
      </c>
      <c r="M196" s="3">
        <v>249.71</v>
      </c>
      <c r="N196" s="3">
        <v>361.33</v>
      </c>
      <c r="O196" s="3">
        <v>9.4E-2</v>
      </c>
      <c r="P196" s="3">
        <v>12</v>
      </c>
      <c r="Q196" s="3">
        <v>3928.3797600000003</v>
      </c>
      <c r="R196" s="3">
        <f t="shared" si="15"/>
        <v>2996.52</v>
      </c>
      <c r="S196" s="3">
        <v>931.85976000000028</v>
      </c>
      <c r="T196" s="3">
        <f t="shared" si="16"/>
        <v>0.23721223937881206</v>
      </c>
      <c r="U196" s="3" t="str">
        <f t="shared" si="17"/>
        <v>May-2023</v>
      </c>
      <c r="AB196" s="3">
        <f t="shared" si="18"/>
        <v>2996.52</v>
      </c>
      <c r="AC196" s="3">
        <f t="shared" si="19"/>
        <v>3928.3797600000003</v>
      </c>
    </row>
    <row r="197" spans="1:29" x14ac:dyDescent="0.35">
      <c r="A197" s="3" t="s">
        <v>209</v>
      </c>
      <c r="B197" s="4">
        <v>45557</v>
      </c>
      <c r="C197" s="4">
        <v>45566</v>
      </c>
      <c r="D197" s="5">
        <v>9</v>
      </c>
      <c r="E197" s="3" t="s">
        <v>648</v>
      </c>
      <c r="F197" s="3" t="s">
        <v>655</v>
      </c>
      <c r="G197" s="3" t="s">
        <v>670</v>
      </c>
      <c r="H197" s="3" t="s">
        <v>703</v>
      </c>
      <c r="I197" s="3" t="s">
        <v>708</v>
      </c>
      <c r="J197" s="3" t="s">
        <v>723</v>
      </c>
      <c r="K197" s="3" t="s">
        <v>732</v>
      </c>
      <c r="L197" s="3" t="s">
        <v>929</v>
      </c>
      <c r="M197" s="3">
        <v>1378.8</v>
      </c>
      <c r="N197" s="3">
        <v>1952.04</v>
      </c>
      <c r="O197" s="3">
        <v>0.159</v>
      </c>
      <c r="P197" s="3">
        <v>19</v>
      </c>
      <c r="Q197" s="3">
        <v>31191.64716</v>
      </c>
      <c r="R197" s="3">
        <f t="shared" si="15"/>
        <v>26197.200000000001</v>
      </c>
      <c r="S197" s="3">
        <v>4994.4471599999997</v>
      </c>
      <c r="T197" s="3">
        <f t="shared" si="16"/>
        <v>0.16012130216723058</v>
      </c>
      <c r="U197" s="3" t="str">
        <f t="shared" si="17"/>
        <v>Sep-2024</v>
      </c>
      <c r="AB197" s="3">
        <f t="shared" si="18"/>
        <v>26197.200000000001</v>
      </c>
      <c r="AC197" s="3">
        <f t="shared" si="19"/>
        <v>31191.64716</v>
      </c>
    </row>
    <row r="198" spans="1:29" x14ac:dyDescent="0.35">
      <c r="A198" s="3" t="s">
        <v>210</v>
      </c>
      <c r="B198" s="4">
        <v>45588</v>
      </c>
      <c r="C198" s="4">
        <v>45610</v>
      </c>
      <c r="D198" s="5">
        <v>22</v>
      </c>
      <c r="E198" s="3" t="s">
        <v>647</v>
      </c>
      <c r="F198" s="3" t="s">
        <v>652</v>
      </c>
      <c r="G198" s="3" t="s">
        <v>666</v>
      </c>
      <c r="H198" s="3" t="s">
        <v>703</v>
      </c>
      <c r="I198" s="3" t="s">
        <v>711</v>
      </c>
      <c r="J198" s="3" t="s">
        <v>717</v>
      </c>
      <c r="K198" s="3" t="s">
        <v>730</v>
      </c>
      <c r="L198" s="3" t="s">
        <v>930</v>
      </c>
      <c r="M198" s="3">
        <v>1406.4</v>
      </c>
      <c r="N198" s="3">
        <v>1564.76</v>
      </c>
      <c r="O198" s="3">
        <v>0.185</v>
      </c>
      <c r="P198" s="3">
        <v>17</v>
      </c>
      <c r="Q198" s="3">
        <v>21679.749799999998</v>
      </c>
      <c r="R198" s="3">
        <f t="shared" si="15"/>
        <v>23908.800000000003</v>
      </c>
      <c r="S198" s="3">
        <v>2229.0502000000051</v>
      </c>
      <c r="T198" s="3">
        <f t="shared" si="16"/>
        <v>0.10281715520536151</v>
      </c>
      <c r="U198" s="3" t="str">
        <f t="shared" si="17"/>
        <v>Oct-2024</v>
      </c>
      <c r="AB198" s="3">
        <f t="shared" si="18"/>
        <v>23908.800000000003</v>
      </c>
      <c r="AC198" s="3">
        <f t="shared" si="19"/>
        <v>21679.749799999998</v>
      </c>
    </row>
    <row r="199" spans="1:29" x14ac:dyDescent="0.35">
      <c r="A199" s="3" t="s">
        <v>211</v>
      </c>
      <c r="B199" s="4">
        <v>45333</v>
      </c>
      <c r="C199" s="4">
        <v>45354</v>
      </c>
      <c r="D199" s="5">
        <v>21</v>
      </c>
      <c r="E199" s="3" t="s">
        <v>646</v>
      </c>
      <c r="F199" s="3" t="s">
        <v>650</v>
      </c>
      <c r="G199" s="3" t="s">
        <v>662</v>
      </c>
      <c r="H199" s="3" t="s">
        <v>706</v>
      </c>
      <c r="I199" s="3" t="s">
        <v>708</v>
      </c>
      <c r="J199" s="3" t="s">
        <v>717</v>
      </c>
      <c r="K199" s="3" t="s">
        <v>730</v>
      </c>
      <c r="L199" s="3" t="s">
        <v>931</v>
      </c>
      <c r="M199" s="3">
        <v>516.86</v>
      </c>
      <c r="N199" s="3">
        <v>852.54</v>
      </c>
      <c r="O199" s="3">
        <v>5.0999999999999997E-2</v>
      </c>
      <c r="P199" s="3">
        <v>14</v>
      </c>
      <c r="Q199" s="3">
        <v>11326.846439999999</v>
      </c>
      <c r="R199" s="3">
        <f t="shared" si="15"/>
        <v>7236.04</v>
      </c>
      <c r="S199" s="3">
        <v>4090.8064399999994</v>
      </c>
      <c r="T199" s="3">
        <f t="shared" si="16"/>
        <v>0.36116022775355994</v>
      </c>
      <c r="U199" s="3" t="str">
        <f t="shared" si="17"/>
        <v>Feb-2024</v>
      </c>
      <c r="AB199" s="3">
        <f t="shared" si="18"/>
        <v>7236.04</v>
      </c>
      <c r="AC199" s="3">
        <f t="shared" si="19"/>
        <v>11326.846439999999</v>
      </c>
    </row>
    <row r="200" spans="1:29" x14ac:dyDescent="0.35">
      <c r="A200" s="3" t="s">
        <v>212</v>
      </c>
      <c r="B200" s="4">
        <v>44956</v>
      </c>
      <c r="C200" s="4">
        <v>44978</v>
      </c>
      <c r="D200" s="5">
        <v>22</v>
      </c>
      <c r="E200" s="3" t="s">
        <v>649</v>
      </c>
      <c r="F200" s="3" t="s">
        <v>656</v>
      </c>
      <c r="G200" s="3" t="s">
        <v>684</v>
      </c>
      <c r="H200" s="3" t="s">
        <v>705</v>
      </c>
      <c r="I200" s="3" t="s">
        <v>709</v>
      </c>
      <c r="J200" s="3" t="s">
        <v>715</v>
      </c>
      <c r="K200" s="3" t="s">
        <v>729</v>
      </c>
      <c r="L200" s="3" t="s">
        <v>932</v>
      </c>
      <c r="M200" s="3">
        <v>1142.8800000000001</v>
      </c>
      <c r="N200" s="3">
        <v>1465.29</v>
      </c>
      <c r="O200" s="3">
        <v>0.186</v>
      </c>
      <c r="P200" s="3">
        <v>7</v>
      </c>
      <c r="Q200" s="3">
        <v>8349.2224200000001</v>
      </c>
      <c r="R200" s="3">
        <f t="shared" si="15"/>
        <v>8000.1600000000008</v>
      </c>
      <c r="S200" s="3">
        <v>349.06241999999929</v>
      </c>
      <c r="T200" s="3">
        <f t="shared" si="16"/>
        <v>4.1807775915017401E-2</v>
      </c>
      <c r="U200" s="3" t="str">
        <f t="shared" si="17"/>
        <v>Jan-2023</v>
      </c>
      <c r="AB200" s="3">
        <f t="shared" si="18"/>
        <v>8000.1600000000008</v>
      </c>
      <c r="AC200" s="3">
        <f t="shared" si="19"/>
        <v>8349.2224200000001</v>
      </c>
    </row>
    <row r="201" spans="1:29" x14ac:dyDescent="0.35">
      <c r="A201" s="3" t="s">
        <v>213</v>
      </c>
      <c r="B201" s="4">
        <v>45030</v>
      </c>
      <c r="C201" s="4">
        <v>45059</v>
      </c>
      <c r="D201" s="5">
        <v>29</v>
      </c>
      <c r="E201" s="3" t="s">
        <v>649</v>
      </c>
      <c r="F201" s="3" t="s">
        <v>656</v>
      </c>
      <c r="G201" s="3" t="s">
        <v>698</v>
      </c>
      <c r="H201" s="3" t="s">
        <v>704</v>
      </c>
      <c r="I201" s="3" t="s">
        <v>711</v>
      </c>
      <c r="J201" s="3" t="s">
        <v>713</v>
      </c>
      <c r="K201" s="3" t="s">
        <v>728</v>
      </c>
      <c r="L201" s="3" t="s">
        <v>933</v>
      </c>
      <c r="M201" s="3">
        <v>1320.33</v>
      </c>
      <c r="N201" s="3">
        <v>2645.23</v>
      </c>
      <c r="O201" s="3">
        <v>0.155</v>
      </c>
      <c r="P201" s="3">
        <v>25</v>
      </c>
      <c r="Q201" s="3">
        <v>55880.483749999999</v>
      </c>
      <c r="R201" s="3">
        <f t="shared" si="15"/>
        <v>33008.25</v>
      </c>
      <c r="S201" s="3">
        <v>22872.233749999999</v>
      </c>
      <c r="T201" s="3">
        <f t="shared" si="16"/>
        <v>0.40930629470436536</v>
      </c>
      <c r="U201" s="3" t="str">
        <f t="shared" si="17"/>
        <v>Apr-2023</v>
      </c>
      <c r="AB201" s="3">
        <f t="shared" si="18"/>
        <v>33008.25</v>
      </c>
      <c r="AC201" s="3">
        <f t="shared" si="19"/>
        <v>55880.483749999999</v>
      </c>
    </row>
    <row r="202" spans="1:29" x14ac:dyDescent="0.35">
      <c r="A202" s="3" t="s">
        <v>214</v>
      </c>
      <c r="B202" s="4">
        <v>44939</v>
      </c>
      <c r="C202" s="4">
        <v>44945</v>
      </c>
      <c r="D202" s="5">
        <v>6</v>
      </c>
      <c r="E202" s="3" t="s">
        <v>648</v>
      </c>
      <c r="F202" s="3" t="s">
        <v>660</v>
      </c>
      <c r="G202" s="3" t="s">
        <v>677</v>
      </c>
      <c r="H202" s="3" t="s">
        <v>701</v>
      </c>
      <c r="I202" s="3" t="s">
        <v>711</v>
      </c>
      <c r="J202" s="3" t="s">
        <v>722</v>
      </c>
      <c r="K202" s="3" t="s">
        <v>730</v>
      </c>
      <c r="L202" s="3" t="s">
        <v>934</v>
      </c>
      <c r="M202" s="3">
        <v>833.57</v>
      </c>
      <c r="N202" s="3">
        <v>881.57</v>
      </c>
      <c r="O202" s="3">
        <v>5.7000000000000002E-2</v>
      </c>
      <c r="P202" s="3">
        <v>18</v>
      </c>
      <c r="Q202" s="3">
        <v>14963.769179999999</v>
      </c>
      <c r="R202" s="3">
        <f t="shared" si="15"/>
        <v>15004.26</v>
      </c>
      <c r="S202" s="3">
        <v>40.490820000000895</v>
      </c>
      <c r="T202" s="3">
        <f t="shared" si="16"/>
        <v>2.7059238560107821E-3</v>
      </c>
      <c r="U202" s="3" t="str">
        <f t="shared" si="17"/>
        <v>Jan-2023</v>
      </c>
      <c r="AB202" s="3">
        <f t="shared" si="18"/>
        <v>15004.26</v>
      </c>
      <c r="AC202" s="3">
        <f t="shared" si="19"/>
        <v>14963.769179999999</v>
      </c>
    </row>
    <row r="203" spans="1:29" x14ac:dyDescent="0.35">
      <c r="A203" s="3" t="s">
        <v>215</v>
      </c>
      <c r="B203" s="4">
        <v>45303</v>
      </c>
      <c r="C203" s="4">
        <v>45320</v>
      </c>
      <c r="D203" s="5">
        <v>17</v>
      </c>
      <c r="E203" s="3" t="s">
        <v>648</v>
      </c>
      <c r="F203" s="3" t="s">
        <v>660</v>
      </c>
      <c r="G203" s="3" t="s">
        <v>677</v>
      </c>
      <c r="H203" s="3" t="s">
        <v>702</v>
      </c>
      <c r="I203" s="3" t="s">
        <v>710</v>
      </c>
      <c r="J203" s="3" t="s">
        <v>720</v>
      </c>
      <c r="K203" s="3" t="s">
        <v>728</v>
      </c>
      <c r="L203" s="3" t="s">
        <v>935</v>
      </c>
      <c r="M203" s="3">
        <v>493.76</v>
      </c>
      <c r="N203" s="3">
        <v>625.04</v>
      </c>
      <c r="O203" s="3">
        <v>0.25800000000000001</v>
      </c>
      <c r="P203" s="3">
        <v>10</v>
      </c>
      <c r="Q203" s="3">
        <v>4637.7968000000001</v>
      </c>
      <c r="R203" s="3">
        <f t="shared" si="15"/>
        <v>4937.6000000000004</v>
      </c>
      <c r="S203" s="3">
        <v>299.80320000000029</v>
      </c>
      <c r="T203" s="3">
        <f t="shared" si="16"/>
        <v>6.464345311549663E-2</v>
      </c>
      <c r="U203" s="3" t="str">
        <f t="shared" si="17"/>
        <v>Jan-2024</v>
      </c>
      <c r="AB203" s="3">
        <f t="shared" si="18"/>
        <v>4937.6000000000004</v>
      </c>
      <c r="AC203" s="3">
        <f t="shared" si="19"/>
        <v>5000.32</v>
      </c>
    </row>
    <row r="204" spans="1:29" x14ac:dyDescent="0.35">
      <c r="A204" s="3" t="s">
        <v>216</v>
      </c>
      <c r="B204" s="4">
        <v>45153</v>
      </c>
      <c r="C204" s="4">
        <v>45176</v>
      </c>
      <c r="D204" s="5">
        <v>23</v>
      </c>
      <c r="E204" s="3" t="s">
        <v>648</v>
      </c>
      <c r="F204" s="3" t="s">
        <v>660</v>
      </c>
      <c r="G204" s="3" t="s">
        <v>700</v>
      </c>
      <c r="H204" s="3" t="s">
        <v>706</v>
      </c>
      <c r="I204" s="3" t="s">
        <v>708</v>
      </c>
      <c r="J204" s="3" t="s">
        <v>723</v>
      </c>
      <c r="K204" s="3" t="s">
        <v>730</v>
      </c>
      <c r="L204" s="3" t="s">
        <v>936</v>
      </c>
      <c r="M204" s="3">
        <v>590.33000000000004</v>
      </c>
      <c r="N204" s="3">
        <v>973.04</v>
      </c>
      <c r="O204" s="3">
        <v>0</v>
      </c>
      <c r="P204" s="3">
        <v>26</v>
      </c>
      <c r="Q204" s="3">
        <v>25299.040000000001</v>
      </c>
      <c r="R204" s="3">
        <f t="shared" si="15"/>
        <v>15348.580000000002</v>
      </c>
      <c r="S204" s="3">
        <v>9950.4599999999991</v>
      </c>
      <c r="T204" s="3">
        <f t="shared" si="16"/>
        <v>0.39331373838691108</v>
      </c>
      <c r="U204" s="3" t="str">
        <f t="shared" si="17"/>
        <v>Aug-2023</v>
      </c>
      <c r="AB204" s="3">
        <f t="shared" si="18"/>
        <v>15348.580000000002</v>
      </c>
      <c r="AC204" s="3">
        <f t="shared" si="19"/>
        <v>25299.040000000001</v>
      </c>
    </row>
    <row r="205" spans="1:29" x14ac:dyDescent="0.35">
      <c r="A205" s="3" t="s">
        <v>217</v>
      </c>
      <c r="B205" s="4">
        <v>44946</v>
      </c>
      <c r="C205" s="4">
        <v>44960</v>
      </c>
      <c r="D205" s="5">
        <v>14</v>
      </c>
      <c r="E205" s="3" t="s">
        <v>646</v>
      </c>
      <c r="F205" s="3" t="s">
        <v>650</v>
      </c>
      <c r="G205" s="3" t="s">
        <v>662</v>
      </c>
      <c r="H205" s="3" t="s">
        <v>701</v>
      </c>
      <c r="I205" s="3" t="s">
        <v>707</v>
      </c>
      <c r="J205" s="3" t="s">
        <v>724</v>
      </c>
      <c r="K205" s="3" t="s">
        <v>729</v>
      </c>
      <c r="L205" s="3" t="s">
        <v>937</v>
      </c>
      <c r="M205" s="3">
        <v>884.36</v>
      </c>
      <c r="N205" s="3">
        <v>1545.34</v>
      </c>
      <c r="O205" s="3">
        <v>0.24299999999999999</v>
      </c>
      <c r="P205" s="3">
        <v>41</v>
      </c>
      <c r="Q205" s="3">
        <v>47962.717579999997</v>
      </c>
      <c r="R205" s="3">
        <f t="shared" si="15"/>
        <v>36258.76</v>
      </c>
      <c r="S205" s="3">
        <v>11703.957579999995</v>
      </c>
      <c r="T205" s="3">
        <f t="shared" si="16"/>
        <v>0.24402198562827965</v>
      </c>
      <c r="U205" s="3" t="str">
        <f t="shared" si="17"/>
        <v>Jan-2023</v>
      </c>
      <c r="AB205" s="3">
        <f t="shared" si="18"/>
        <v>36258.76</v>
      </c>
      <c r="AC205" s="3">
        <f t="shared" si="19"/>
        <v>50687.152000000002</v>
      </c>
    </row>
    <row r="206" spans="1:29" x14ac:dyDescent="0.35">
      <c r="A206" s="3" t="s">
        <v>218</v>
      </c>
      <c r="B206" s="4">
        <v>45692</v>
      </c>
      <c r="C206" s="4">
        <v>45713</v>
      </c>
      <c r="D206" s="5">
        <v>21</v>
      </c>
      <c r="E206" s="3" t="s">
        <v>649</v>
      </c>
      <c r="F206" s="3" t="s">
        <v>658</v>
      </c>
      <c r="G206" s="3" t="s">
        <v>674</v>
      </c>
      <c r="H206" s="3" t="s">
        <v>701</v>
      </c>
      <c r="I206" s="3" t="s">
        <v>709</v>
      </c>
      <c r="J206" s="3" t="s">
        <v>726</v>
      </c>
      <c r="K206" s="3" t="s">
        <v>732</v>
      </c>
      <c r="L206" s="3" t="s">
        <v>938</v>
      </c>
      <c r="M206" s="3">
        <v>1016.32</v>
      </c>
      <c r="N206" s="3">
        <v>2253.42</v>
      </c>
      <c r="O206" s="3">
        <v>5.5E-2</v>
      </c>
      <c r="P206" s="3">
        <v>12</v>
      </c>
      <c r="Q206" s="3">
        <v>25553.782800000001</v>
      </c>
      <c r="R206" s="3">
        <f t="shared" si="15"/>
        <v>12195.84</v>
      </c>
      <c r="S206" s="3">
        <v>13357.942800000001</v>
      </c>
      <c r="T206" s="3">
        <f t="shared" si="16"/>
        <v>0.52273837124419797</v>
      </c>
      <c r="U206" s="3" t="str">
        <f t="shared" si="17"/>
        <v>Feb-2025</v>
      </c>
      <c r="AB206" s="3">
        <f t="shared" si="18"/>
        <v>12195.84</v>
      </c>
      <c r="AC206" s="3">
        <f t="shared" si="19"/>
        <v>25553.782800000001</v>
      </c>
    </row>
    <row r="207" spans="1:29" x14ac:dyDescent="0.35">
      <c r="A207" s="3" t="s">
        <v>219</v>
      </c>
      <c r="B207" s="4">
        <v>45035</v>
      </c>
      <c r="C207" s="4">
        <v>45044</v>
      </c>
      <c r="D207" s="5">
        <v>9</v>
      </c>
      <c r="E207" s="3" t="s">
        <v>649</v>
      </c>
      <c r="F207" s="3" t="s">
        <v>656</v>
      </c>
      <c r="G207" s="3" t="s">
        <v>671</v>
      </c>
      <c r="H207" s="3" t="s">
        <v>702</v>
      </c>
      <c r="I207" s="3" t="s">
        <v>708</v>
      </c>
      <c r="J207" s="3" t="s">
        <v>718</v>
      </c>
      <c r="K207" s="3" t="s">
        <v>732</v>
      </c>
      <c r="L207" s="3" t="s">
        <v>939</v>
      </c>
      <c r="M207" s="3">
        <v>1178.42</v>
      </c>
      <c r="N207" s="3">
        <v>2446.56</v>
      </c>
      <c r="O207" s="3">
        <v>2.9000000000000001E-2</v>
      </c>
      <c r="P207" s="3">
        <v>11</v>
      </c>
      <c r="Q207" s="3">
        <v>26131.70736</v>
      </c>
      <c r="R207" s="3">
        <f t="shared" si="15"/>
        <v>12962.62</v>
      </c>
      <c r="S207" s="3">
        <v>13169.08736</v>
      </c>
      <c r="T207" s="3">
        <f t="shared" si="16"/>
        <v>0.5039505141618883</v>
      </c>
      <c r="U207" s="3" t="str">
        <f t="shared" si="17"/>
        <v>Apr-2023</v>
      </c>
      <c r="AB207" s="3">
        <f t="shared" si="18"/>
        <v>12962.62</v>
      </c>
      <c r="AC207" s="3">
        <f t="shared" si="19"/>
        <v>26131.70736</v>
      </c>
    </row>
    <row r="208" spans="1:29" x14ac:dyDescent="0.35">
      <c r="A208" s="3" t="s">
        <v>220</v>
      </c>
      <c r="B208" s="4">
        <v>45109</v>
      </c>
      <c r="C208" s="4">
        <v>45139</v>
      </c>
      <c r="D208" s="5">
        <v>30</v>
      </c>
      <c r="E208" s="3" t="s">
        <v>649</v>
      </c>
      <c r="F208" s="3" t="s">
        <v>658</v>
      </c>
      <c r="G208" s="3" t="s">
        <v>674</v>
      </c>
      <c r="H208" s="3" t="s">
        <v>705</v>
      </c>
      <c r="I208" s="3" t="s">
        <v>707</v>
      </c>
      <c r="J208" s="3" t="s">
        <v>717</v>
      </c>
      <c r="K208" s="3" t="s">
        <v>727</v>
      </c>
      <c r="L208" s="3" t="s">
        <v>940</v>
      </c>
      <c r="M208" s="3">
        <v>137.46</v>
      </c>
      <c r="N208" s="3">
        <v>188.3</v>
      </c>
      <c r="O208" s="3">
        <v>3.7999999999999999E-2</v>
      </c>
      <c r="P208" s="3">
        <v>37</v>
      </c>
      <c r="Q208" s="3">
        <v>6702.3501999999999</v>
      </c>
      <c r="R208" s="3">
        <f t="shared" si="15"/>
        <v>5086.0200000000004</v>
      </c>
      <c r="S208" s="3">
        <v>1616.3301999999994</v>
      </c>
      <c r="T208" s="3">
        <f t="shared" si="16"/>
        <v>0.24115872071262398</v>
      </c>
      <c r="U208" s="3" t="str">
        <f t="shared" si="17"/>
        <v>Jul-2023</v>
      </c>
      <c r="AB208" s="3">
        <f t="shared" si="18"/>
        <v>5086.0200000000004</v>
      </c>
      <c r="AC208" s="3">
        <f t="shared" si="19"/>
        <v>6702.3501999999999</v>
      </c>
    </row>
    <row r="209" spans="1:29" x14ac:dyDescent="0.35">
      <c r="A209" s="3" t="s">
        <v>221</v>
      </c>
      <c r="B209" s="4">
        <v>45678</v>
      </c>
      <c r="C209" s="4">
        <v>45702</v>
      </c>
      <c r="D209" s="5">
        <v>24</v>
      </c>
      <c r="E209" s="3" t="s">
        <v>646</v>
      </c>
      <c r="F209" s="3" t="s">
        <v>650</v>
      </c>
      <c r="G209" s="3" t="s">
        <v>664</v>
      </c>
      <c r="H209" s="3" t="s">
        <v>705</v>
      </c>
      <c r="I209" s="3" t="s">
        <v>707</v>
      </c>
      <c r="J209" s="3" t="s">
        <v>713</v>
      </c>
      <c r="K209" s="3" t="s">
        <v>733</v>
      </c>
      <c r="L209" s="3" t="s">
        <v>941</v>
      </c>
      <c r="M209" s="3">
        <v>1030.44</v>
      </c>
      <c r="N209" s="3">
        <v>2562.84</v>
      </c>
      <c r="O209" s="3">
        <v>0.14799999999999999</v>
      </c>
      <c r="P209" s="3">
        <v>13</v>
      </c>
      <c r="Q209" s="3">
        <v>28386.015839999996</v>
      </c>
      <c r="R209" s="3">
        <f t="shared" si="15"/>
        <v>13395.720000000001</v>
      </c>
      <c r="S209" s="3">
        <v>14990.295839999995</v>
      </c>
      <c r="T209" s="3">
        <f t="shared" si="16"/>
        <v>0.52808734852027039</v>
      </c>
      <c r="U209" s="3" t="str">
        <f t="shared" si="17"/>
        <v>Jan-2025</v>
      </c>
      <c r="AB209" s="3">
        <f t="shared" si="18"/>
        <v>13395.720000000001</v>
      </c>
      <c r="AC209" s="3">
        <f t="shared" si="19"/>
        <v>28386.015839999996</v>
      </c>
    </row>
    <row r="210" spans="1:29" x14ac:dyDescent="0.35">
      <c r="A210" s="3" t="s">
        <v>222</v>
      </c>
      <c r="B210" s="4">
        <v>45545</v>
      </c>
      <c r="C210" s="4">
        <v>45572</v>
      </c>
      <c r="D210" s="5">
        <v>27</v>
      </c>
      <c r="E210" s="3" t="s">
        <v>646</v>
      </c>
      <c r="F210" s="3" t="s">
        <v>650</v>
      </c>
      <c r="G210" s="3" t="s">
        <v>662</v>
      </c>
      <c r="H210" s="3" t="s">
        <v>704</v>
      </c>
      <c r="I210" s="3" t="s">
        <v>707</v>
      </c>
      <c r="J210" s="3" t="s">
        <v>716</v>
      </c>
      <c r="K210" s="3" t="s">
        <v>728</v>
      </c>
      <c r="L210" s="3" t="s">
        <v>942</v>
      </c>
      <c r="M210" s="3">
        <v>1248.3900000000001</v>
      </c>
      <c r="N210" s="3">
        <v>1805.11</v>
      </c>
      <c r="O210" s="3">
        <v>0.20300000000000001</v>
      </c>
      <c r="P210" s="3">
        <v>11</v>
      </c>
      <c r="Q210" s="3">
        <v>15825.399369999997</v>
      </c>
      <c r="R210" s="3">
        <f t="shared" si="15"/>
        <v>13732.29</v>
      </c>
      <c r="S210" s="3">
        <v>2093.1093699999965</v>
      </c>
      <c r="T210" s="3">
        <f t="shared" si="16"/>
        <v>0.13226265707820786</v>
      </c>
      <c r="U210" s="3" t="str">
        <f t="shared" si="17"/>
        <v>Sep-2024</v>
      </c>
      <c r="AB210" s="3">
        <f t="shared" si="18"/>
        <v>13732.29</v>
      </c>
      <c r="AC210" s="3">
        <f t="shared" si="19"/>
        <v>15884.968000000001</v>
      </c>
    </row>
    <row r="211" spans="1:29" x14ac:dyDescent="0.35">
      <c r="A211" s="3" t="s">
        <v>223</v>
      </c>
      <c r="B211" s="4">
        <v>45859</v>
      </c>
      <c r="C211" s="4">
        <v>45876</v>
      </c>
      <c r="D211" s="5">
        <v>17</v>
      </c>
      <c r="E211" s="3" t="s">
        <v>646</v>
      </c>
      <c r="F211" s="3" t="s">
        <v>651</v>
      </c>
      <c r="G211" s="3" t="s">
        <v>665</v>
      </c>
      <c r="H211" s="3" t="s">
        <v>706</v>
      </c>
      <c r="I211" s="3" t="s">
        <v>711</v>
      </c>
      <c r="J211" s="3" t="s">
        <v>724</v>
      </c>
      <c r="K211" s="3" t="s">
        <v>733</v>
      </c>
      <c r="L211" s="3" t="s">
        <v>943</v>
      </c>
      <c r="M211" s="3">
        <v>1204.95</v>
      </c>
      <c r="N211" s="3">
        <v>2065.73</v>
      </c>
      <c r="O211" s="3">
        <v>0.13600000000000001</v>
      </c>
      <c r="P211" s="3">
        <v>10</v>
      </c>
      <c r="Q211" s="3">
        <v>17847.907199999998</v>
      </c>
      <c r="R211" s="3">
        <f t="shared" si="15"/>
        <v>12049.5</v>
      </c>
      <c r="S211" s="3">
        <v>5798.4071999999978</v>
      </c>
      <c r="T211" s="3">
        <f t="shared" si="16"/>
        <v>0.32487882949100039</v>
      </c>
      <c r="U211" s="3" t="str">
        <f t="shared" si="17"/>
        <v>Jul-2025</v>
      </c>
      <c r="AB211" s="3">
        <f t="shared" si="18"/>
        <v>12049.5</v>
      </c>
      <c r="AC211" s="3">
        <f t="shared" si="19"/>
        <v>17847.907199999998</v>
      </c>
    </row>
    <row r="212" spans="1:29" x14ac:dyDescent="0.35">
      <c r="A212" s="3" t="s">
        <v>224</v>
      </c>
      <c r="B212" s="4">
        <v>45567</v>
      </c>
      <c r="C212" s="4">
        <v>45588</v>
      </c>
      <c r="D212" s="5">
        <v>21</v>
      </c>
      <c r="E212" s="3" t="s">
        <v>646</v>
      </c>
      <c r="F212" s="3" t="s">
        <v>661</v>
      </c>
      <c r="G212" s="3" t="s">
        <v>687</v>
      </c>
      <c r="H212" s="3" t="s">
        <v>701</v>
      </c>
      <c r="I212" s="3" t="s">
        <v>709</v>
      </c>
      <c r="J212" s="3" t="s">
        <v>720</v>
      </c>
      <c r="K212" s="3" t="s">
        <v>727</v>
      </c>
      <c r="L212" s="3" t="s">
        <v>944</v>
      </c>
      <c r="M212" s="3">
        <v>1095.6099999999999</v>
      </c>
      <c r="N212" s="3">
        <v>2366.5100000000002</v>
      </c>
      <c r="O212" s="3">
        <v>0.152</v>
      </c>
      <c r="P212" s="3">
        <v>9</v>
      </c>
      <c r="Q212" s="3">
        <v>18061.204320000004</v>
      </c>
      <c r="R212" s="3">
        <f t="shared" si="15"/>
        <v>9860.49</v>
      </c>
      <c r="S212" s="3">
        <v>8200.7143200000046</v>
      </c>
      <c r="T212" s="3">
        <f t="shared" si="16"/>
        <v>0.4540513564158607</v>
      </c>
      <c r="U212" s="3" t="str">
        <f t="shared" si="17"/>
        <v>Oct-2024</v>
      </c>
      <c r="AB212" s="3">
        <f t="shared" si="18"/>
        <v>9860.49</v>
      </c>
      <c r="AC212" s="3">
        <f t="shared" si="19"/>
        <v>18061.204320000004</v>
      </c>
    </row>
    <row r="213" spans="1:29" x14ac:dyDescent="0.35">
      <c r="A213" s="3" t="s">
        <v>225</v>
      </c>
      <c r="B213" s="4">
        <v>45852</v>
      </c>
      <c r="C213" s="4">
        <v>45873</v>
      </c>
      <c r="D213" s="5">
        <v>21</v>
      </c>
      <c r="E213" s="3" t="s">
        <v>648</v>
      </c>
      <c r="F213" s="3" t="s">
        <v>653</v>
      </c>
      <c r="G213" s="3" t="s">
        <v>681</v>
      </c>
      <c r="H213" s="3" t="s">
        <v>704</v>
      </c>
      <c r="I213" s="3" t="s">
        <v>708</v>
      </c>
      <c r="J213" s="3" t="s">
        <v>722</v>
      </c>
      <c r="K213" s="3" t="s">
        <v>732</v>
      </c>
      <c r="L213" s="3" t="s">
        <v>945</v>
      </c>
      <c r="M213" s="3">
        <v>90.3</v>
      </c>
      <c r="N213" s="3">
        <v>131.76</v>
      </c>
      <c r="O213" s="3">
        <v>0.10199999999999999</v>
      </c>
      <c r="P213" s="3">
        <v>15</v>
      </c>
      <c r="Q213" s="3">
        <v>1774.8072</v>
      </c>
      <c r="R213" s="3">
        <f t="shared" si="15"/>
        <v>1354.5</v>
      </c>
      <c r="S213" s="3">
        <v>420.30719999999997</v>
      </c>
      <c r="T213" s="3">
        <f t="shared" si="16"/>
        <v>0.23681851189244668</v>
      </c>
      <c r="U213" s="3" t="str">
        <f t="shared" si="17"/>
        <v>Jul-2025</v>
      </c>
      <c r="AB213" s="3">
        <f t="shared" si="18"/>
        <v>1354.5</v>
      </c>
      <c r="AC213" s="3">
        <f t="shared" si="19"/>
        <v>1774.8072</v>
      </c>
    </row>
    <row r="214" spans="1:29" x14ac:dyDescent="0.35">
      <c r="A214" s="3" t="s">
        <v>226</v>
      </c>
      <c r="B214" s="4">
        <v>45544</v>
      </c>
      <c r="C214" s="4">
        <v>45566</v>
      </c>
      <c r="D214" s="5">
        <v>22</v>
      </c>
      <c r="E214" s="3" t="s">
        <v>647</v>
      </c>
      <c r="F214" s="3" t="s">
        <v>659</v>
      </c>
      <c r="G214" s="3" t="s">
        <v>676</v>
      </c>
      <c r="H214" s="3" t="s">
        <v>704</v>
      </c>
      <c r="I214" s="3" t="s">
        <v>711</v>
      </c>
      <c r="J214" s="3" t="s">
        <v>716</v>
      </c>
      <c r="K214" s="3" t="s">
        <v>728</v>
      </c>
      <c r="L214" s="3" t="s">
        <v>946</v>
      </c>
      <c r="M214" s="3">
        <v>1166.18</v>
      </c>
      <c r="N214" s="3">
        <v>1335.02</v>
      </c>
      <c r="O214" s="3">
        <v>0.128</v>
      </c>
      <c r="P214" s="3">
        <v>6</v>
      </c>
      <c r="Q214" s="3">
        <v>6984.8246399999998</v>
      </c>
      <c r="R214" s="3">
        <f t="shared" si="15"/>
        <v>6997.08</v>
      </c>
      <c r="S214" s="3">
        <v>12.25536000000011</v>
      </c>
      <c r="T214" s="3">
        <f t="shared" si="16"/>
        <v>1.7545694604582242E-3</v>
      </c>
      <c r="U214" s="3" t="str">
        <f t="shared" si="17"/>
        <v>Sep-2024</v>
      </c>
      <c r="AB214" s="3">
        <f t="shared" si="18"/>
        <v>6997.08</v>
      </c>
      <c r="AC214" s="3">
        <f t="shared" si="19"/>
        <v>6984.8246399999998</v>
      </c>
    </row>
    <row r="215" spans="1:29" x14ac:dyDescent="0.35">
      <c r="A215" s="3" t="s">
        <v>227</v>
      </c>
      <c r="B215" s="4">
        <v>45686</v>
      </c>
      <c r="C215" s="4">
        <v>45694</v>
      </c>
      <c r="D215" s="5">
        <v>8</v>
      </c>
      <c r="E215" s="3" t="s">
        <v>646</v>
      </c>
      <c r="F215" s="3" t="s">
        <v>650</v>
      </c>
      <c r="G215" s="3" t="s">
        <v>662</v>
      </c>
      <c r="H215" s="3" t="s">
        <v>702</v>
      </c>
      <c r="I215" s="3" t="s">
        <v>707</v>
      </c>
      <c r="J215" s="3" t="s">
        <v>717</v>
      </c>
      <c r="K215" s="3" t="s">
        <v>730</v>
      </c>
      <c r="L215" s="3" t="s">
        <v>947</v>
      </c>
      <c r="M215" s="3">
        <v>1445.27</v>
      </c>
      <c r="N215" s="3">
        <v>2691.45</v>
      </c>
      <c r="O215" s="3">
        <v>0</v>
      </c>
      <c r="P215" s="3">
        <v>9</v>
      </c>
      <c r="Q215" s="3">
        <v>24223.05</v>
      </c>
      <c r="R215" s="3">
        <f t="shared" si="15"/>
        <v>13007.43</v>
      </c>
      <c r="S215" s="3">
        <v>11215.619999999999</v>
      </c>
      <c r="T215" s="3">
        <f t="shared" si="16"/>
        <v>0.46301436028906351</v>
      </c>
      <c r="U215" s="3" t="str">
        <f t="shared" si="17"/>
        <v>Jan-2025</v>
      </c>
      <c r="AB215" s="3">
        <f t="shared" si="18"/>
        <v>13007.43</v>
      </c>
      <c r="AC215" s="3">
        <f t="shared" si="19"/>
        <v>24223.05</v>
      </c>
    </row>
    <row r="216" spans="1:29" x14ac:dyDescent="0.35">
      <c r="A216" s="3" t="s">
        <v>228</v>
      </c>
      <c r="B216" s="4">
        <v>45240</v>
      </c>
      <c r="C216" s="4">
        <v>45258</v>
      </c>
      <c r="D216" s="5">
        <v>18</v>
      </c>
      <c r="E216" s="3" t="s">
        <v>648</v>
      </c>
      <c r="F216" s="3" t="s">
        <v>655</v>
      </c>
      <c r="G216" s="3" t="s">
        <v>672</v>
      </c>
      <c r="H216" s="3" t="s">
        <v>702</v>
      </c>
      <c r="I216" s="3" t="s">
        <v>709</v>
      </c>
      <c r="J216" s="3" t="s">
        <v>716</v>
      </c>
      <c r="K216" s="3" t="s">
        <v>733</v>
      </c>
      <c r="L216" s="3" t="s">
        <v>948</v>
      </c>
      <c r="M216" s="3">
        <v>388.51</v>
      </c>
      <c r="N216" s="3">
        <v>776.46</v>
      </c>
      <c r="O216" s="3">
        <v>0.157</v>
      </c>
      <c r="P216" s="3">
        <v>12</v>
      </c>
      <c r="Q216" s="3">
        <v>7854.6693599999999</v>
      </c>
      <c r="R216" s="3">
        <f t="shared" si="15"/>
        <v>4662.12</v>
      </c>
      <c r="S216" s="3">
        <v>3192.54936</v>
      </c>
      <c r="T216" s="3">
        <f t="shared" si="16"/>
        <v>0.40645241876864946</v>
      </c>
      <c r="U216" s="3" t="str">
        <f t="shared" si="17"/>
        <v>Nov-2023</v>
      </c>
      <c r="AB216" s="3">
        <f t="shared" si="18"/>
        <v>4662.12</v>
      </c>
      <c r="AC216" s="3">
        <f t="shared" si="19"/>
        <v>7854.6693599999999</v>
      </c>
    </row>
    <row r="217" spans="1:29" x14ac:dyDescent="0.35">
      <c r="A217" s="3" t="s">
        <v>229</v>
      </c>
      <c r="B217" s="4">
        <v>45351</v>
      </c>
      <c r="C217" s="4">
        <v>45381</v>
      </c>
      <c r="D217" s="5">
        <v>30</v>
      </c>
      <c r="E217" s="3" t="s">
        <v>647</v>
      </c>
      <c r="F217" s="3" t="s">
        <v>652</v>
      </c>
      <c r="G217" s="3" t="s">
        <v>694</v>
      </c>
      <c r="H217" s="3" t="s">
        <v>705</v>
      </c>
      <c r="I217" s="3" t="s">
        <v>711</v>
      </c>
      <c r="J217" s="3" t="s">
        <v>714</v>
      </c>
      <c r="K217" s="3" t="s">
        <v>729</v>
      </c>
      <c r="L217" s="3" t="s">
        <v>949</v>
      </c>
      <c r="M217" s="3">
        <v>231.11</v>
      </c>
      <c r="N217" s="3">
        <v>318.17</v>
      </c>
      <c r="O217" s="3">
        <v>0.20100000000000001</v>
      </c>
      <c r="P217" s="3">
        <v>60</v>
      </c>
      <c r="Q217" s="3">
        <v>15253.069799999999</v>
      </c>
      <c r="R217" s="3">
        <f t="shared" si="15"/>
        <v>13866.6</v>
      </c>
      <c r="S217" s="3">
        <v>1386.4697999999989</v>
      </c>
      <c r="T217" s="3">
        <f t="shared" si="16"/>
        <v>9.0897754889969692E-2</v>
      </c>
      <c r="U217" s="3" t="str">
        <f t="shared" si="17"/>
        <v>Feb-2024</v>
      </c>
      <c r="AB217" s="3">
        <f t="shared" si="18"/>
        <v>13866.6</v>
      </c>
      <c r="AC217" s="3">
        <f t="shared" si="19"/>
        <v>15272.160000000002</v>
      </c>
    </row>
    <row r="218" spans="1:29" x14ac:dyDescent="0.35">
      <c r="A218" s="3" t="s">
        <v>230</v>
      </c>
      <c r="B218" s="4">
        <v>45280</v>
      </c>
      <c r="C218" s="4">
        <v>45305</v>
      </c>
      <c r="D218" s="5">
        <v>25</v>
      </c>
      <c r="E218" s="3" t="s">
        <v>647</v>
      </c>
      <c r="F218" s="3" t="s">
        <v>654</v>
      </c>
      <c r="G218" s="3" t="s">
        <v>691</v>
      </c>
      <c r="H218" s="3" t="s">
        <v>703</v>
      </c>
      <c r="I218" s="3" t="s">
        <v>709</v>
      </c>
      <c r="J218" s="3" t="s">
        <v>716</v>
      </c>
      <c r="K218" s="3" t="s">
        <v>732</v>
      </c>
      <c r="L218" s="3" t="s">
        <v>950</v>
      </c>
      <c r="M218" s="3">
        <v>1085.6099999999999</v>
      </c>
      <c r="N218" s="3">
        <v>1246.4100000000001</v>
      </c>
      <c r="O218" s="3">
        <v>0.113</v>
      </c>
      <c r="P218" s="3">
        <v>7</v>
      </c>
      <c r="Q218" s="3">
        <v>7738.9596900000006</v>
      </c>
      <c r="R218" s="3">
        <f t="shared" si="15"/>
        <v>7599.2699999999995</v>
      </c>
      <c r="S218" s="3">
        <v>139.68969000000106</v>
      </c>
      <c r="T218" s="3">
        <f t="shared" si="16"/>
        <v>1.8050189637310417E-2</v>
      </c>
      <c r="U218" s="3" t="str">
        <f t="shared" si="17"/>
        <v>Dec-2023</v>
      </c>
      <c r="AB218" s="3">
        <f t="shared" si="18"/>
        <v>7599.2699999999995</v>
      </c>
      <c r="AC218" s="3">
        <f t="shared" si="19"/>
        <v>7738.9596900000006</v>
      </c>
    </row>
    <row r="219" spans="1:29" x14ac:dyDescent="0.35">
      <c r="A219" s="3" t="s">
        <v>231</v>
      </c>
      <c r="B219" s="4">
        <v>44948</v>
      </c>
      <c r="C219" s="4">
        <v>44947</v>
      </c>
      <c r="D219" s="5">
        <v>1</v>
      </c>
      <c r="E219" s="3" t="s">
        <v>649</v>
      </c>
      <c r="F219" s="3" t="s">
        <v>656</v>
      </c>
      <c r="G219" s="3" t="s">
        <v>684</v>
      </c>
      <c r="H219" s="3" t="s">
        <v>701</v>
      </c>
      <c r="I219" s="3" t="s">
        <v>711</v>
      </c>
      <c r="J219" s="3" t="s">
        <v>721</v>
      </c>
      <c r="K219" s="3" t="s">
        <v>732</v>
      </c>
      <c r="L219" s="3" t="s">
        <v>951</v>
      </c>
      <c r="M219" s="3">
        <v>150.86000000000001</v>
      </c>
      <c r="N219" s="3">
        <v>346.96</v>
      </c>
      <c r="O219" s="3">
        <v>0.19600000000000001</v>
      </c>
      <c r="P219" s="3">
        <v>8</v>
      </c>
      <c r="Q219" s="3">
        <v>2231.6467200000002</v>
      </c>
      <c r="R219" s="3">
        <f t="shared" si="15"/>
        <v>1206.8800000000001</v>
      </c>
      <c r="S219" s="3">
        <v>1024.7667200000001</v>
      </c>
      <c r="T219" s="3">
        <f t="shared" si="16"/>
        <v>0.45919755614365343</v>
      </c>
      <c r="U219" s="3" t="str">
        <f t="shared" si="17"/>
        <v>Jan-2023</v>
      </c>
      <c r="AB219" s="3">
        <f t="shared" si="18"/>
        <v>1206.8800000000001</v>
      </c>
      <c r="AC219" s="3">
        <f t="shared" si="19"/>
        <v>2231.6467200000002</v>
      </c>
    </row>
    <row r="220" spans="1:29" x14ac:dyDescent="0.35">
      <c r="A220" s="3" t="s">
        <v>232</v>
      </c>
      <c r="B220" s="4">
        <v>45576</v>
      </c>
      <c r="C220" s="4">
        <v>45605</v>
      </c>
      <c r="D220" s="5">
        <v>29</v>
      </c>
      <c r="E220" s="3" t="s">
        <v>647</v>
      </c>
      <c r="F220" s="3" t="s">
        <v>659</v>
      </c>
      <c r="G220" s="3" t="s">
        <v>685</v>
      </c>
      <c r="H220" s="3" t="s">
        <v>703</v>
      </c>
      <c r="I220" s="3" t="s">
        <v>708</v>
      </c>
      <c r="J220" s="3" t="s">
        <v>721</v>
      </c>
      <c r="K220" s="3" t="s">
        <v>728</v>
      </c>
      <c r="L220" s="3" t="s">
        <v>952</v>
      </c>
      <c r="M220" s="3">
        <v>391.64</v>
      </c>
      <c r="N220" s="3">
        <v>504.76</v>
      </c>
      <c r="O220" s="3">
        <v>4.0000000000000001E-3</v>
      </c>
      <c r="P220" s="3">
        <v>13</v>
      </c>
      <c r="Q220" s="3">
        <v>6535.6324800000002</v>
      </c>
      <c r="R220" s="3">
        <f t="shared" si="15"/>
        <v>5091.32</v>
      </c>
      <c r="S220" s="3">
        <v>1444.3124800000005</v>
      </c>
      <c r="T220" s="3">
        <f t="shared" si="16"/>
        <v>0.22099046793402319</v>
      </c>
      <c r="U220" s="3" t="str">
        <f t="shared" si="17"/>
        <v>Oct-2024</v>
      </c>
      <c r="AB220" s="3">
        <f t="shared" si="18"/>
        <v>5091.32</v>
      </c>
      <c r="AC220" s="3">
        <f t="shared" si="19"/>
        <v>6535.6324800000002</v>
      </c>
    </row>
    <row r="221" spans="1:29" x14ac:dyDescent="0.35">
      <c r="A221" s="3" t="s">
        <v>233</v>
      </c>
      <c r="B221" s="4">
        <v>45554</v>
      </c>
      <c r="C221" s="4">
        <v>45579</v>
      </c>
      <c r="D221" s="5">
        <v>25</v>
      </c>
      <c r="E221" s="3" t="s">
        <v>648</v>
      </c>
      <c r="F221" s="3" t="s">
        <v>655</v>
      </c>
      <c r="G221" s="3" t="s">
        <v>692</v>
      </c>
      <c r="H221" s="3" t="s">
        <v>705</v>
      </c>
      <c r="I221" s="3" t="s">
        <v>707</v>
      </c>
      <c r="J221" s="3" t="s">
        <v>723</v>
      </c>
      <c r="K221" s="3" t="s">
        <v>728</v>
      </c>
      <c r="L221" s="3" t="s">
        <v>953</v>
      </c>
      <c r="M221" s="3">
        <v>386.96</v>
      </c>
      <c r="N221" s="3">
        <v>937.46</v>
      </c>
      <c r="O221" s="3">
        <v>0.26600000000000001</v>
      </c>
      <c r="P221" s="3">
        <v>41</v>
      </c>
      <c r="Q221" s="3">
        <v>28211.92124</v>
      </c>
      <c r="R221" s="3">
        <f t="shared" si="15"/>
        <v>15865.359999999999</v>
      </c>
      <c r="S221" s="3">
        <v>12346.561240000001</v>
      </c>
      <c r="T221" s="3">
        <f t="shared" si="16"/>
        <v>0.43763631462626335</v>
      </c>
      <c r="U221" s="3" t="str">
        <f t="shared" si="17"/>
        <v>Sep-2024</v>
      </c>
      <c r="AB221" s="3">
        <f t="shared" si="18"/>
        <v>15865.359999999999</v>
      </c>
      <c r="AC221" s="3">
        <f t="shared" si="19"/>
        <v>30748.688000000002</v>
      </c>
    </row>
    <row r="222" spans="1:29" x14ac:dyDescent="0.35">
      <c r="A222" s="3" t="s">
        <v>234</v>
      </c>
      <c r="B222" s="4">
        <v>45894</v>
      </c>
      <c r="C222" s="4">
        <v>45924</v>
      </c>
      <c r="D222" s="5">
        <v>30</v>
      </c>
      <c r="E222" s="3" t="s">
        <v>646</v>
      </c>
      <c r="F222" s="3" t="s">
        <v>650</v>
      </c>
      <c r="G222" s="3" t="s">
        <v>664</v>
      </c>
      <c r="H222" s="3" t="s">
        <v>704</v>
      </c>
      <c r="I222" s="3" t="s">
        <v>711</v>
      </c>
      <c r="J222" s="3" t="s">
        <v>717</v>
      </c>
      <c r="K222" s="3" t="s">
        <v>727</v>
      </c>
      <c r="L222" s="3" t="s">
        <v>954</v>
      </c>
      <c r="M222" s="3">
        <v>589.14</v>
      </c>
      <c r="N222" s="3">
        <v>1300.58</v>
      </c>
      <c r="O222" s="3">
        <v>5.5E-2</v>
      </c>
      <c r="P222" s="3">
        <v>11</v>
      </c>
      <c r="Q222" s="3">
        <v>13519.529099999998</v>
      </c>
      <c r="R222" s="3">
        <f t="shared" si="15"/>
        <v>6480.54</v>
      </c>
      <c r="S222" s="3">
        <v>7038.989099999998</v>
      </c>
      <c r="T222" s="3">
        <f t="shared" si="16"/>
        <v>0.52065342275863724</v>
      </c>
      <c r="U222" s="3" t="str">
        <f t="shared" si="17"/>
        <v>Aug-2025</v>
      </c>
      <c r="AB222" s="3">
        <f t="shared" si="18"/>
        <v>6480.54</v>
      </c>
      <c r="AC222" s="3">
        <f t="shared" si="19"/>
        <v>13519.529099999998</v>
      </c>
    </row>
    <row r="223" spans="1:29" x14ac:dyDescent="0.35">
      <c r="A223" s="3" t="s">
        <v>235</v>
      </c>
      <c r="B223" s="4">
        <v>45194</v>
      </c>
      <c r="C223" s="4">
        <v>45201</v>
      </c>
      <c r="D223" s="5">
        <v>7</v>
      </c>
      <c r="E223" s="3" t="s">
        <v>648</v>
      </c>
      <c r="F223" s="3" t="s">
        <v>660</v>
      </c>
      <c r="G223" s="3" t="s">
        <v>700</v>
      </c>
      <c r="H223" s="3" t="s">
        <v>702</v>
      </c>
      <c r="I223" s="3" t="s">
        <v>709</v>
      </c>
      <c r="J223" s="3" t="s">
        <v>714</v>
      </c>
      <c r="K223" s="3" t="s">
        <v>733</v>
      </c>
      <c r="L223" s="3" t="s">
        <v>955</v>
      </c>
      <c r="M223" s="3">
        <v>145.58000000000001</v>
      </c>
      <c r="N223" s="3">
        <v>228.15</v>
      </c>
      <c r="O223" s="3">
        <v>0.20399999999999999</v>
      </c>
      <c r="P223" s="3">
        <v>5</v>
      </c>
      <c r="Q223" s="3">
        <v>908.03700000000003</v>
      </c>
      <c r="R223" s="3">
        <f t="shared" si="15"/>
        <v>727.90000000000009</v>
      </c>
      <c r="S223" s="3">
        <v>180.13699999999994</v>
      </c>
      <c r="T223" s="3">
        <f t="shared" si="16"/>
        <v>0.19838068272548359</v>
      </c>
      <c r="U223" s="3" t="str">
        <f t="shared" si="17"/>
        <v>Sep-2023</v>
      </c>
      <c r="AB223" s="3">
        <f t="shared" si="18"/>
        <v>727.90000000000009</v>
      </c>
      <c r="AC223" s="3">
        <f t="shared" si="19"/>
        <v>912.6</v>
      </c>
    </row>
    <row r="224" spans="1:29" x14ac:dyDescent="0.35">
      <c r="A224" s="3" t="s">
        <v>236</v>
      </c>
      <c r="B224" s="4">
        <v>45164</v>
      </c>
      <c r="C224" s="4">
        <v>45179</v>
      </c>
      <c r="D224" s="5">
        <v>15</v>
      </c>
      <c r="E224" s="3" t="s">
        <v>646</v>
      </c>
      <c r="F224" s="3" t="s">
        <v>661</v>
      </c>
      <c r="G224" s="3" t="s">
        <v>695</v>
      </c>
      <c r="H224" s="3" t="s">
        <v>703</v>
      </c>
      <c r="I224" s="3" t="s">
        <v>711</v>
      </c>
      <c r="J224" s="3" t="s">
        <v>725</v>
      </c>
      <c r="K224" s="3" t="s">
        <v>727</v>
      </c>
      <c r="L224" s="3" t="s">
        <v>956</v>
      </c>
      <c r="M224" s="3">
        <v>241.14</v>
      </c>
      <c r="N224" s="3">
        <v>496.52</v>
      </c>
      <c r="O224" s="3">
        <v>9.2999999999999999E-2</v>
      </c>
      <c r="P224" s="3">
        <v>10</v>
      </c>
      <c r="Q224" s="3">
        <v>4503.4363999999996</v>
      </c>
      <c r="R224" s="3">
        <f t="shared" si="15"/>
        <v>2411.3999999999996</v>
      </c>
      <c r="S224" s="3">
        <v>2092.0364</v>
      </c>
      <c r="T224" s="3">
        <f t="shared" si="16"/>
        <v>0.46454223268257994</v>
      </c>
      <c r="U224" s="3" t="str">
        <f t="shared" si="17"/>
        <v>Aug-2023</v>
      </c>
      <c r="AB224" s="3">
        <f t="shared" si="18"/>
        <v>2411.3999999999996</v>
      </c>
      <c r="AC224" s="3">
        <f t="shared" si="19"/>
        <v>4503.4363999999996</v>
      </c>
    </row>
    <row r="225" spans="1:29" x14ac:dyDescent="0.35">
      <c r="A225" s="3" t="s">
        <v>237</v>
      </c>
      <c r="B225" s="4">
        <v>45854</v>
      </c>
      <c r="C225" s="4">
        <v>45855</v>
      </c>
      <c r="D225" s="5">
        <v>1</v>
      </c>
      <c r="E225" s="3" t="s">
        <v>646</v>
      </c>
      <c r="F225" s="3" t="s">
        <v>661</v>
      </c>
      <c r="G225" s="3" t="s">
        <v>687</v>
      </c>
      <c r="H225" s="3" t="s">
        <v>705</v>
      </c>
      <c r="I225" s="3" t="s">
        <v>710</v>
      </c>
      <c r="J225" s="3" t="s">
        <v>717</v>
      </c>
      <c r="K225" s="3" t="s">
        <v>729</v>
      </c>
      <c r="L225" s="3" t="s">
        <v>957</v>
      </c>
      <c r="M225" s="3">
        <v>1198.9000000000001</v>
      </c>
      <c r="N225" s="3">
        <v>2941.2</v>
      </c>
      <c r="O225" s="3">
        <v>5.0999999999999997E-2</v>
      </c>
      <c r="P225" s="3">
        <v>24</v>
      </c>
      <c r="Q225" s="3">
        <v>66988.771199999988</v>
      </c>
      <c r="R225" s="3">
        <f t="shared" si="15"/>
        <v>28773.600000000002</v>
      </c>
      <c r="S225" s="3">
        <v>38215.171199999982</v>
      </c>
      <c r="T225" s="3">
        <f t="shared" si="16"/>
        <v>0.57047129713583977</v>
      </c>
      <c r="U225" s="3" t="str">
        <f t="shared" si="17"/>
        <v>Jul-2025</v>
      </c>
      <c r="AB225" s="3">
        <f t="shared" si="18"/>
        <v>28773.600000000002</v>
      </c>
      <c r="AC225" s="3">
        <f t="shared" si="19"/>
        <v>66988.771199999988</v>
      </c>
    </row>
    <row r="226" spans="1:29" x14ac:dyDescent="0.35">
      <c r="A226" s="3" t="s">
        <v>238</v>
      </c>
      <c r="B226" s="4">
        <v>45035</v>
      </c>
      <c r="C226" s="4">
        <v>45053</v>
      </c>
      <c r="D226" s="5">
        <v>18</v>
      </c>
      <c r="E226" s="3" t="s">
        <v>649</v>
      </c>
      <c r="F226" s="3" t="s">
        <v>658</v>
      </c>
      <c r="G226" s="3" t="s">
        <v>674</v>
      </c>
      <c r="H226" s="3" t="s">
        <v>706</v>
      </c>
      <c r="I226" s="3" t="s">
        <v>707</v>
      </c>
      <c r="J226" s="3" t="s">
        <v>725</v>
      </c>
      <c r="K226" s="3" t="s">
        <v>731</v>
      </c>
      <c r="L226" s="3" t="s">
        <v>958</v>
      </c>
      <c r="M226" s="3">
        <v>1089.1500000000001</v>
      </c>
      <c r="N226" s="3">
        <v>1088.2</v>
      </c>
      <c r="O226" s="3">
        <v>5.0999999999999997E-2</v>
      </c>
      <c r="P226" s="3">
        <v>15</v>
      </c>
      <c r="Q226" s="3">
        <v>15490.527</v>
      </c>
      <c r="R226" s="3">
        <f t="shared" si="15"/>
        <v>16337.250000000002</v>
      </c>
      <c r="S226" s="3">
        <v>846.72300000000178</v>
      </c>
      <c r="T226" s="3">
        <f t="shared" si="16"/>
        <v>5.4660696824582002E-2</v>
      </c>
      <c r="U226" s="3" t="str">
        <f t="shared" si="17"/>
        <v>Apr-2023</v>
      </c>
      <c r="AB226" s="3">
        <f t="shared" si="18"/>
        <v>16337.250000000002</v>
      </c>
      <c r="AC226" s="3">
        <f t="shared" si="19"/>
        <v>15490.527</v>
      </c>
    </row>
    <row r="227" spans="1:29" x14ac:dyDescent="0.35">
      <c r="A227" s="3" t="s">
        <v>239</v>
      </c>
      <c r="B227" s="4">
        <v>45279</v>
      </c>
      <c r="C227" s="4">
        <v>45280</v>
      </c>
      <c r="D227" s="5">
        <v>1</v>
      </c>
      <c r="E227" s="3" t="s">
        <v>648</v>
      </c>
      <c r="F227" s="3" t="s">
        <v>655</v>
      </c>
      <c r="G227" s="3" t="s">
        <v>692</v>
      </c>
      <c r="H227" s="3" t="s">
        <v>704</v>
      </c>
      <c r="I227" s="3" t="s">
        <v>710</v>
      </c>
      <c r="J227" s="3" t="s">
        <v>713</v>
      </c>
      <c r="K227" s="3" t="s">
        <v>730</v>
      </c>
      <c r="L227" s="3" t="s">
        <v>959</v>
      </c>
      <c r="M227" s="3">
        <v>1080.43</v>
      </c>
      <c r="N227" s="3">
        <v>2529.15</v>
      </c>
      <c r="O227" s="3">
        <v>0.14699999999999999</v>
      </c>
      <c r="P227" s="3">
        <v>10</v>
      </c>
      <c r="Q227" s="3">
        <v>21573.6495</v>
      </c>
      <c r="R227" s="3">
        <f t="shared" si="15"/>
        <v>10804.300000000001</v>
      </c>
      <c r="S227" s="3">
        <v>10769.349499999998</v>
      </c>
      <c r="T227" s="3">
        <f t="shared" si="16"/>
        <v>0.49918997247081437</v>
      </c>
      <c r="U227" s="3" t="str">
        <f t="shared" si="17"/>
        <v>Dec-2023</v>
      </c>
      <c r="AB227" s="3">
        <f t="shared" si="18"/>
        <v>10804.300000000001</v>
      </c>
      <c r="AC227" s="3">
        <f t="shared" si="19"/>
        <v>21573.6495</v>
      </c>
    </row>
    <row r="228" spans="1:29" x14ac:dyDescent="0.35">
      <c r="A228" s="3" t="s">
        <v>240</v>
      </c>
      <c r="B228" s="4">
        <v>45137</v>
      </c>
      <c r="C228" s="4">
        <v>45145</v>
      </c>
      <c r="D228" s="5">
        <v>8</v>
      </c>
      <c r="E228" s="3" t="s">
        <v>647</v>
      </c>
      <c r="F228" s="3" t="s">
        <v>652</v>
      </c>
      <c r="G228" s="3" t="s">
        <v>694</v>
      </c>
      <c r="H228" s="3" t="s">
        <v>702</v>
      </c>
      <c r="I228" s="3" t="s">
        <v>709</v>
      </c>
      <c r="J228" s="3" t="s">
        <v>720</v>
      </c>
      <c r="K228" s="3" t="s">
        <v>729</v>
      </c>
      <c r="L228" s="3" t="s">
        <v>960</v>
      </c>
      <c r="M228" s="3">
        <v>1352.44</v>
      </c>
      <c r="N228" s="3">
        <v>2698.01</v>
      </c>
      <c r="O228" s="3">
        <v>0.13100000000000001</v>
      </c>
      <c r="P228" s="3">
        <v>13</v>
      </c>
      <c r="Q228" s="3">
        <v>30479.418970000002</v>
      </c>
      <c r="R228" s="3">
        <f t="shared" si="15"/>
        <v>17581.72</v>
      </c>
      <c r="S228" s="3">
        <v>12897.698970000001</v>
      </c>
      <c r="T228" s="3">
        <f t="shared" si="16"/>
        <v>0.42316091992090887</v>
      </c>
      <c r="U228" s="3" t="str">
        <f t="shared" si="17"/>
        <v>Jul-2023</v>
      </c>
      <c r="AB228" s="3">
        <f t="shared" si="18"/>
        <v>17581.72</v>
      </c>
      <c r="AC228" s="3">
        <f t="shared" si="19"/>
        <v>30479.418970000002</v>
      </c>
    </row>
    <row r="229" spans="1:29" x14ac:dyDescent="0.35">
      <c r="A229" s="3" t="s">
        <v>241</v>
      </c>
      <c r="B229" s="4">
        <v>45203</v>
      </c>
      <c r="C229" s="4">
        <v>45228</v>
      </c>
      <c r="D229" s="5">
        <v>25</v>
      </c>
      <c r="E229" s="3" t="s">
        <v>648</v>
      </c>
      <c r="F229" s="3" t="s">
        <v>660</v>
      </c>
      <c r="G229" s="3" t="s">
        <v>686</v>
      </c>
      <c r="H229" s="3" t="s">
        <v>705</v>
      </c>
      <c r="I229" s="3" t="s">
        <v>710</v>
      </c>
      <c r="J229" s="3" t="s">
        <v>719</v>
      </c>
      <c r="K229" s="3" t="s">
        <v>733</v>
      </c>
      <c r="L229" s="3" t="s">
        <v>961</v>
      </c>
      <c r="M229" s="3">
        <v>1239.8399999999999</v>
      </c>
      <c r="N229" s="3">
        <v>1482.75</v>
      </c>
      <c r="O229" s="3">
        <v>6.7000000000000004E-2</v>
      </c>
      <c r="P229" s="3">
        <v>4</v>
      </c>
      <c r="Q229" s="3">
        <v>5533.6230000000005</v>
      </c>
      <c r="R229" s="3">
        <f t="shared" si="15"/>
        <v>4959.3599999999997</v>
      </c>
      <c r="S229" s="3">
        <v>574.26300000000083</v>
      </c>
      <c r="T229" s="3">
        <f t="shared" si="16"/>
        <v>0.10377703721413634</v>
      </c>
      <c r="U229" s="3" t="str">
        <f t="shared" si="17"/>
        <v>Oct-2023</v>
      </c>
      <c r="AB229" s="3">
        <f t="shared" si="18"/>
        <v>4959.3599999999997</v>
      </c>
      <c r="AC229" s="3">
        <f t="shared" si="19"/>
        <v>5533.6230000000005</v>
      </c>
    </row>
    <row r="230" spans="1:29" x14ac:dyDescent="0.35">
      <c r="A230" s="3" t="s">
        <v>242</v>
      </c>
      <c r="B230" s="4">
        <v>45879</v>
      </c>
      <c r="C230" s="4">
        <v>45899</v>
      </c>
      <c r="D230" s="5">
        <v>20</v>
      </c>
      <c r="E230" s="3" t="s">
        <v>648</v>
      </c>
      <c r="F230" s="3" t="s">
        <v>660</v>
      </c>
      <c r="G230" s="3" t="s">
        <v>686</v>
      </c>
      <c r="H230" s="3" t="s">
        <v>701</v>
      </c>
      <c r="I230" s="3" t="s">
        <v>709</v>
      </c>
      <c r="J230" s="3" t="s">
        <v>723</v>
      </c>
      <c r="K230" s="3" t="s">
        <v>728</v>
      </c>
      <c r="L230" s="3" t="s">
        <v>962</v>
      </c>
      <c r="M230" s="3">
        <v>933.29</v>
      </c>
      <c r="N230" s="3">
        <v>1456.81</v>
      </c>
      <c r="O230" s="3">
        <v>0.123</v>
      </c>
      <c r="P230" s="3">
        <v>13</v>
      </c>
      <c r="Q230" s="3">
        <v>16609.090809999998</v>
      </c>
      <c r="R230" s="3">
        <f t="shared" si="15"/>
        <v>12132.77</v>
      </c>
      <c r="S230" s="3">
        <v>4476.3208099999974</v>
      </c>
      <c r="T230" s="3">
        <f t="shared" si="16"/>
        <v>0.26951028573489977</v>
      </c>
      <c r="U230" s="3" t="str">
        <f t="shared" si="17"/>
        <v>Aug-2025</v>
      </c>
      <c r="AB230" s="3">
        <f t="shared" si="18"/>
        <v>12132.77</v>
      </c>
      <c r="AC230" s="3">
        <f t="shared" si="19"/>
        <v>16609.090809999998</v>
      </c>
    </row>
    <row r="231" spans="1:29" x14ac:dyDescent="0.35">
      <c r="A231" s="3" t="s">
        <v>243</v>
      </c>
      <c r="B231" s="4">
        <v>44992</v>
      </c>
      <c r="C231" s="4">
        <v>45017</v>
      </c>
      <c r="D231" s="5">
        <v>25</v>
      </c>
      <c r="E231" s="3" t="s">
        <v>646</v>
      </c>
      <c r="F231" s="3" t="s">
        <v>650</v>
      </c>
      <c r="G231" s="3" t="s">
        <v>664</v>
      </c>
      <c r="H231" s="3" t="s">
        <v>704</v>
      </c>
      <c r="I231" s="3" t="s">
        <v>709</v>
      </c>
      <c r="J231" s="3" t="s">
        <v>726</v>
      </c>
      <c r="K231" s="3" t="s">
        <v>728</v>
      </c>
      <c r="L231" s="3" t="s">
        <v>963</v>
      </c>
      <c r="M231" s="3">
        <v>1024.0999999999999</v>
      </c>
      <c r="N231" s="3">
        <v>918.19</v>
      </c>
      <c r="O231" s="3">
        <v>0.189</v>
      </c>
      <c r="P231" s="3">
        <v>10</v>
      </c>
      <c r="Q231" s="3">
        <v>7446.5209000000004</v>
      </c>
      <c r="R231" s="3">
        <f t="shared" si="15"/>
        <v>10241</v>
      </c>
      <c r="S231" s="3">
        <v>2794.4790999999996</v>
      </c>
      <c r="T231" s="3">
        <f t="shared" si="16"/>
        <v>0.37527311579827827</v>
      </c>
      <c r="U231" s="3" t="str">
        <f t="shared" si="17"/>
        <v>Mar-2023</v>
      </c>
      <c r="AB231" s="3">
        <f t="shared" si="18"/>
        <v>10241</v>
      </c>
      <c r="AC231" s="3">
        <f t="shared" si="19"/>
        <v>7446.5209000000004</v>
      </c>
    </row>
    <row r="232" spans="1:29" x14ac:dyDescent="0.35">
      <c r="A232" s="3" t="s">
        <v>244</v>
      </c>
      <c r="B232" s="4">
        <v>45069</v>
      </c>
      <c r="C232" s="4">
        <v>45087</v>
      </c>
      <c r="D232" s="5">
        <v>18</v>
      </c>
      <c r="E232" s="3" t="s">
        <v>647</v>
      </c>
      <c r="F232" s="3" t="s">
        <v>659</v>
      </c>
      <c r="G232" s="3" t="s">
        <v>685</v>
      </c>
      <c r="H232" s="3" t="s">
        <v>701</v>
      </c>
      <c r="I232" s="3" t="s">
        <v>710</v>
      </c>
      <c r="J232" s="3" t="s">
        <v>718</v>
      </c>
      <c r="K232" s="3" t="s">
        <v>727</v>
      </c>
      <c r="L232" s="3" t="s">
        <v>964</v>
      </c>
      <c r="M232" s="3">
        <v>54.62</v>
      </c>
      <c r="N232" s="3">
        <v>48.94</v>
      </c>
      <c r="O232" s="3">
        <v>0.14799999999999999</v>
      </c>
      <c r="P232" s="3">
        <v>16</v>
      </c>
      <c r="Q232" s="3">
        <v>667.15008</v>
      </c>
      <c r="R232" s="3">
        <f t="shared" si="15"/>
        <v>873.92</v>
      </c>
      <c r="S232" s="3">
        <v>206.76991999999996</v>
      </c>
      <c r="T232" s="3">
        <f t="shared" si="16"/>
        <v>0.3099301434543783</v>
      </c>
      <c r="U232" s="3" t="str">
        <f t="shared" si="17"/>
        <v>May-2023</v>
      </c>
      <c r="AB232" s="3">
        <f t="shared" si="18"/>
        <v>873.92</v>
      </c>
      <c r="AC232" s="3">
        <f t="shared" si="19"/>
        <v>667.15008</v>
      </c>
    </row>
    <row r="233" spans="1:29" x14ac:dyDescent="0.35">
      <c r="A233" s="3" t="s">
        <v>245</v>
      </c>
      <c r="B233" s="4">
        <v>45771</v>
      </c>
      <c r="C233" s="4">
        <v>45783</v>
      </c>
      <c r="D233" s="5">
        <v>12</v>
      </c>
      <c r="E233" s="3" t="s">
        <v>648</v>
      </c>
      <c r="F233" s="3" t="s">
        <v>655</v>
      </c>
      <c r="G233" s="3" t="s">
        <v>672</v>
      </c>
      <c r="H233" s="3" t="s">
        <v>704</v>
      </c>
      <c r="I233" s="3" t="s">
        <v>708</v>
      </c>
      <c r="J233" s="3" t="s">
        <v>712</v>
      </c>
      <c r="K233" s="3" t="s">
        <v>730</v>
      </c>
      <c r="L233" s="3" t="s">
        <v>965</v>
      </c>
      <c r="M233" s="3">
        <v>394.13</v>
      </c>
      <c r="N233" s="3">
        <v>932.29</v>
      </c>
      <c r="O233" s="3">
        <v>0.109</v>
      </c>
      <c r="P233" s="3">
        <v>7</v>
      </c>
      <c r="Q233" s="3">
        <v>5814.6927299999998</v>
      </c>
      <c r="R233" s="3">
        <f t="shared" si="15"/>
        <v>2758.91</v>
      </c>
      <c r="S233" s="3">
        <v>3055.7827299999999</v>
      </c>
      <c r="T233" s="3">
        <f t="shared" si="16"/>
        <v>0.5255278089303268</v>
      </c>
      <c r="U233" s="3" t="str">
        <f t="shared" si="17"/>
        <v>Apr-2025</v>
      </c>
      <c r="AB233" s="3">
        <f t="shared" si="18"/>
        <v>2758.91</v>
      </c>
      <c r="AC233" s="3">
        <f t="shared" si="19"/>
        <v>5814.6927299999998</v>
      </c>
    </row>
    <row r="234" spans="1:29" x14ac:dyDescent="0.35">
      <c r="A234" s="3" t="s">
        <v>246</v>
      </c>
      <c r="B234" s="4">
        <v>45538</v>
      </c>
      <c r="C234" s="4">
        <v>45543</v>
      </c>
      <c r="D234" s="5">
        <v>5</v>
      </c>
      <c r="E234" s="3" t="s">
        <v>646</v>
      </c>
      <c r="F234" s="3" t="s">
        <v>651</v>
      </c>
      <c r="G234" s="3" t="s">
        <v>665</v>
      </c>
      <c r="H234" s="3" t="s">
        <v>705</v>
      </c>
      <c r="I234" s="3" t="s">
        <v>711</v>
      </c>
      <c r="J234" s="3" t="s">
        <v>723</v>
      </c>
      <c r="K234" s="3" t="s">
        <v>728</v>
      </c>
      <c r="L234" s="3" t="s">
        <v>966</v>
      </c>
      <c r="M234" s="3">
        <v>197.63</v>
      </c>
      <c r="N234" s="3">
        <v>325.79000000000002</v>
      </c>
      <c r="O234" s="3">
        <v>0.11600000000000001</v>
      </c>
      <c r="P234" s="3">
        <v>10</v>
      </c>
      <c r="Q234" s="3">
        <v>2879.9836</v>
      </c>
      <c r="R234" s="3">
        <f t="shared" si="15"/>
        <v>1976.3</v>
      </c>
      <c r="S234" s="3">
        <v>903.68360000000007</v>
      </c>
      <c r="T234" s="3">
        <f t="shared" si="16"/>
        <v>0.31378081458519419</v>
      </c>
      <c r="U234" s="3" t="str">
        <f t="shared" si="17"/>
        <v>Sep-2024</v>
      </c>
      <c r="AB234" s="3">
        <f t="shared" si="18"/>
        <v>1976.3</v>
      </c>
      <c r="AC234" s="3">
        <f t="shared" si="19"/>
        <v>2879.9836</v>
      </c>
    </row>
    <row r="235" spans="1:29" x14ac:dyDescent="0.35">
      <c r="A235" s="3" t="s">
        <v>247</v>
      </c>
      <c r="B235" s="4">
        <v>45540</v>
      </c>
      <c r="C235" s="4">
        <v>45560</v>
      </c>
      <c r="D235" s="5">
        <v>20</v>
      </c>
      <c r="E235" s="3" t="s">
        <v>647</v>
      </c>
      <c r="F235" s="3" t="s">
        <v>652</v>
      </c>
      <c r="G235" s="3" t="s">
        <v>666</v>
      </c>
      <c r="H235" s="3" t="s">
        <v>706</v>
      </c>
      <c r="I235" s="3" t="s">
        <v>710</v>
      </c>
      <c r="J235" s="3" t="s">
        <v>726</v>
      </c>
      <c r="K235" s="3" t="s">
        <v>732</v>
      </c>
      <c r="L235" s="3" t="s">
        <v>967</v>
      </c>
      <c r="M235" s="3">
        <v>195.54</v>
      </c>
      <c r="N235" s="3">
        <v>405.97</v>
      </c>
      <c r="O235" s="3">
        <v>0.187</v>
      </c>
      <c r="P235" s="3">
        <v>16</v>
      </c>
      <c r="Q235" s="3">
        <v>5280.8577599999999</v>
      </c>
      <c r="R235" s="3">
        <f t="shared" si="15"/>
        <v>3128.64</v>
      </c>
      <c r="S235" s="3">
        <v>2152.21776</v>
      </c>
      <c r="T235" s="3">
        <f t="shared" si="16"/>
        <v>0.40755079152141377</v>
      </c>
      <c r="U235" s="3" t="str">
        <f t="shared" si="17"/>
        <v>Sep-2024</v>
      </c>
      <c r="AB235" s="3">
        <f t="shared" si="18"/>
        <v>3128.64</v>
      </c>
      <c r="AC235" s="3">
        <f t="shared" si="19"/>
        <v>5280.8577599999999</v>
      </c>
    </row>
    <row r="236" spans="1:29" x14ac:dyDescent="0.35">
      <c r="A236" s="3" t="s">
        <v>248</v>
      </c>
      <c r="B236" s="4">
        <v>44999</v>
      </c>
      <c r="C236" s="4">
        <v>45015</v>
      </c>
      <c r="D236" s="5">
        <v>16</v>
      </c>
      <c r="E236" s="3" t="s">
        <v>646</v>
      </c>
      <c r="F236" s="3" t="s">
        <v>661</v>
      </c>
      <c r="G236" s="3" t="s">
        <v>695</v>
      </c>
      <c r="H236" s="3" t="s">
        <v>704</v>
      </c>
      <c r="I236" s="3" t="s">
        <v>710</v>
      </c>
      <c r="J236" s="3" t="s">
        <v>723</v>
      </c>
      <c r="K236" s="3" t="s">
        <v>727</v>
      </c>
      <c r="L236" s="3" t="s">
        <v>968</v>
      </c>
      <c r="M236" s="3">
        <v>1309.77</v>
      </c>
      <c r="N236" s="3">
        <v>1589.07</v>
      </c>
      <c r="O236" s="3">
        <v>0.10199999999999999</v>
      </c>
      <c r="P236" s="3">
        <v>10</v>
      </c>
      <c r="Q236" s="3">
        <v>14269.848599999999</v>
      </c>
      <c r="R236" s="3">
        <f t="shared" si="15"/>
        <v>13097.7</v>
      </c>
      <c r="S236" s="3">
        <v>1172.1485999999986</v>
      </c>
      <c r="T236" s="3">
        <f t="shared" si="16"/>
        <v>8.2141628328137886E-2</v>
      </c>
      <c r="U236" s="3" t="str">
        <f t="shared" si="17"/>
        <v>Mar-2023</v>
      </c>
      <c r="AB236" s="3">
        <f t="shared" si="18"/>
        <v>13097.7</v>
      </c>
      <c r="AC236" s="3">
        <f t="shared" si="19"/>
        <v>14269.848599999999</v>
      </c>
    </row>
    <row r="237" spans="1:29" x14ac:dyDescent="0.35">
      <c r="A237" s="3" t="s">
        <v>249</v>
      </c>
      <c r="B237" s="4">
        <v>45302</v>
      </c>
      <c r="C237" s="4">
        <v>45324</v>
      </c>
      <c r="D237" s="5">
        <v>22</v>
      </c>
      <c r="E237" s="3" t="s">
        <v>647</v>
      </c>
      <c r="F237" s="3" t="s">
        <v>652</v>
      </c>
      <c r="G237" s="3" t="s">
        <v>694</v>
      </c>
      <c r="H237" s="3" t="s">
        <v>705</v>
      </c>
      <c r="I237" s="3" t="s">
        <v>708</v>
      </c>
      <c r="J237" s="3" t="s">
        <v>1422</v>
      </c>
      <c r="K237" s="3" t="s">
        <v>728</v>
      </c>
      <c r="L237" s="3" t="s">
        <v>969</v>
      </c>
      <c r="M237" s="3">
        <v>1237.68</v>
      </c>
      <c r="N237" s="3">
        <v>1432.8</v>
      </c>
      <c r="O237" s="3">
        <v>6.8000000000000005E-2</v>
      </c>
      <c r="P237" s="3">
        <v>13</v>
      </c>
      <c r="Q237" s="3">
        <v>17359.804799999998</v>
      </c>
      <c r="R237" s="3">
        <f t="shared" si="15"/>
        <v>16089.84</v>
      </c>
      <c r="S237" s="3">
        <v>1269.9647999999979</v>
      </c>
      <c r="T237" s="3">
        <f t="shared" si="16"/>
        <v>7.315547695559331E-2</v>
      </c>
      <c r="U237" s="3" t="str">
        <f t="shared" si="17"/>
        <v>Jan-2024</v>
      </c>
      <c r="AB237" s="3">
        <f t="shared" si="18"/>
        <v>16089.84</v>
      </c>
      <c r="AC237" s="3">
        <f t="shared" si="19"/>
        <v>17359.804799999998</v>
      </c>
    </row>
    <row r="238" spans="1:29" x14ac:dyDescent="0.35">
      <c r="A238" s="3" t="s">
        <v>250</v>
      </c>
      <c r="B238" s="4">
        <v>45548</v>
      </c>
      <c r="C238" s="4">
        <v>45567</v>
      </c>
      <c r="D238" s="5">
        <v>19</v>
      </c>
      <c r="E238" s="3" t="s">
        <v>646</v>
      </c>
      <c r="F238" s="3" t="s">
        <v>650</v>
      </c>
      <c r="G238" s="3" t="s">
        <v>675</v>
      </c>
      <c r="H238" s="3" t="s">
        <v>705</v>
      </c>
      <c r="I238" s="3" t="s">
        <v>707</v>
      </c>
      <c r="J238" s="3" t="s">
        <v>724</v>
      </c>
      <c r="K238" s="3" t="s">
        <v>730</v>
      </c>
      <c r="L238" s="3" t="s">
        <v>970</v>
      </c>
      <c r="M238" s="3">
        <v>1338.99</v>
      </c>
      <c r="N238" s="3">
        <v>1765.76</v>
      </c>
      <c r="O238" s="3">
        <v>0.126</v>
      </c>
      <c r="P238" s="3">
        <v>24</v>
      </c>
      <c r="Q238" s="3">
        <v>37038.581760000001</v>
      </c>
      <c r="R238" s="3">
        <f t="shared" si="15"/>
        <v>32135.760000000002</v>
      </c>
      <c r="S238" s="3">
        <v>4902.8217599999989</v>
      </c>
      <c r="T238" s="3">
        <f t="shared" si="16"/>
        <v>0.1323706666677725</v>
      </c>
      <c r="U238" s="3" t="str">
        <f t="shared" si="17"/>
        <v>Sep-2024</v>
      </c>
      <c r="AB238" s="3">
        <f t="shared" si="18"/>
        <v>32135.760000000002</v>
      </c>
      <c r="AC238" s="3">
        <f t="shared" si="19"/>
        <v>37038.581760000001</v>
      </c>
    </row>
    <row r="239" spans="1:29" x14ac:dyDescent="0.35">
      <c r="A239" s="3" t="s">
        <v>251</v>
      </c>
      <c r="B239" s="4">
        <v>45855</v>
      </c>
      <c r="C239" s="4">
        <v>45861</v>
      </c>
      <c r="D239" s="5">
        <v>6</v>
      </c>
      <c r="E239" s="3" t="s">
        <v>648</v>
      </c>
      <c r="F239" s="3" t="s">
        <v>653</v>
      </c>
      <c r="G239" s="3" t="s">
        <v>688</v>
      </c>
      <c r="H239" s="3" t="s">
        <v>704</v>
      </c>
      <c r="I239" s="3" t="s">
        <v>708</v>
      </c>
      <c r="J239" s="3" t="s">
        <v>722</v>
      </c>
      <c r="K239" s="3" t="s">
        <v>727</v>
      </c>
      <c r="L239" s="3" t="s">
        <v>971</v>
      </c>
      <c r="M239" s="3">
        <v>1364.89</v>
      </c>
      <c r="N239" s="3">
        <v>2757.54</v>
      </c>
      <c r="O239" s="3">
        <v>0.17199999999999999</v>
      </c>
      <c r="P239" s="3">
        <v>61</v>
      </c>
      <c r="Q239" s="3">
        <v>139277.83032000001</v>
      </c>
      <c r="R239" s="3">
        <f t="shared" si="15"/>
        <v>83258.290000000008</v>
      </c>
      <c r="S239" s="3">
        <v>56019.54032</v>
      </c>
      <c r="T239" s="3">
        <f t="shared" si="16"/>
        <v>0.4022143379983118</v>
      </c>
      <c r="U239" s="3" t="str">
        <f t="shared" si="17"/>
        <v>Jul-2025</v>
      </c>
      <c r="AB239" s="3">
        <f t="shared" si="18"/>
        <v>83258.290000000008</v>
      </c>
      <c r="AC239" s="3">
        <f t="shared" si="19"/>
        <v>139277.83032000001</v>
      </c>
    </row>
    <row r="240" spans="1:29" x14ac:dyDescent="0.35">
      <c r="A240" s="3" t="s">
        <v>252</v>
      </c>
      <c r="B240" s="4">
        <v>45258</v>
      </c>
      <c r="C240" s="4">
        <v>45267</v>
      </c>
      <c r="D240" s="5">
        <v>9</v>
      </c>
      <c r="E240" s="3" t="s">
        <v>647</v>
      </c>
      <c r="F240" s="3" t="s">
        <v>654</v>
      </c>
      <c r="G240" s="3" t="s">
        <v>680</v>
      </c>
      <c r="H240" s="3" t="s">
        <v>706</v>
      </c>
      <c r="I240" s="3" t="s">
        <v>709</v>
      </c>
      <c r="J240" s="3" t="s">
        <v>716</v>
      </c>
      <c r="K240" s="3" t="s">
        <v>730</v>
      </c>
      <c r="L240" s="3" t="s">
        <v>972</v>
      </c>
      <c r="M240" s="3">
        <v>699.33</v>
      </c>
      <c r="N240" s="3">
        <v>873.75</v>
      </c>
      <c r="O240" s="3">
        <v>0.23499999999999999</v>
      </c>
      <c r="P240" s="3">
        <v>10</v>
      </c>
      <c r="Q240" s="3">
        <v>6684.1875</v>
      </c>
      <c r="R240" s="3">
        <f t="shared" si="15"/>
        <v>6993.3</v>
      </c>
      <c r="S240" s="3">
        <v>309.11250000000018</v>
      </c>
      <c r="T240" s="3">
        <f t="shared" si="16"/>
        <v>4.6245336475076469E-2</v>
      </c>
      <c r="U240" s="3" t="str">
        <f t="shared" si="17"/>
        <v>Nov-2023</v>
      </c>
      <c r="AB240" s="3">
        <f t="shared" si="18"/>
        <v>6993.3</v>
      </c>
      <c r="AC240" s="3">
        <f t="shared" si="19"/>
        <v>6990</v>
      </c>
    </row>
    <row r="241" spans="1:29" x14ac:dyDescent="0.35">
      <c r="A241" s="3" t="s">
        <v>253</v>
      </c>
      <c r="B241" s="4">
        <v>45381</v>
      </c>
      <c r="C241" s="4">
        <v>45406</v>
      </c>
      <c r="D241" s="5">
        <v>25</v>
      </c>
      <c r="E241" s="3" t="s">
        <v>648</v>
      </c>
      <c r="F241" s="3" t="s">
        <v>660</v>
      </c>
      <c r="G241" s="3" t="s">
        <v>697</v>
      </c>
      <c r="H241" s="3" t="s">
        <v>703</v>
      </c>
      <c r="I241" s="3" t="s">
        <v>708</v>
      </c>
      <c r="J241" s="3" t="s">
        <v>715</v>
      </c>
      <c r="K241" s="3" t="s">
        <v>731</v>
      </c>
      <c r="L241" s="3" t="s">
        <v>973</v>
      </c>
      <c r="M241" s="3">
        <v>160.82</v>
      </c>
      <c r="N241" s="3">
        <v>258.52</v>
      </c>
      <c r="O241" s="3">
        <v>0.13</v>
      </c>
      <c r="P241" s="3">
        <v>17</v>
      </c>
      <c r="Q241" s="3">
        <v>3823.5108</v>
      </c>
      <c r="R241" s="3">
        <f t="shared" si="15"/>
        <v>2733.94</v>
      </c>
      <c r="S241" s="3">
        <v>1089.5708</v>
      </c>
      <c r="T241" s="3">
        <f t="shared" si="16"/>
        <v>0.28496605789631874</v>
      </c>
      <c r="U241" s="3" t="str">
        <f t="shared" si="17"/>
        <v>Mar-2024</v>
      </c>
      <c r="AB241" s="3">
        <f t="shared" si="18"/>
        <v>2733.94</v>
      </c>
      <c r="AC241" s="3">
        <f t="shared" si="19"/>
        <v>3823.5108</v>
      </c>
    </row>
    <row r="242" spans="1:29" x14ac:dyDescent="0.35">
      <c r="A242" s="3" t="s">
        <v>254</v>
      </c>
      <c r="B242" s="4">
        <v>45188</v>
      </c>
      <c r="C242" s="4">
        <v>45207</v>
      </c>
      <c r="D242" s="5">
        <v>19</v>
      </c>
      <c r="E242" s="3" t="s">
        <v>647</v>
      </c>
      <c r="F242" s="3" t="s">
        <v>654</v>
      </c>
      <c r="G242" s="3" t="s">
        <v>668</v>
      </c>
      <c r="H242" s="3" t="s">
        <v>702</v>
      </c>
      <c r="I242" s="3" t="s">
        <v>711</v>
      </c>
      <c r="J242" s="3" t="s">
        <v>713</v>
      </c>
      <c r="K242" s="3" t="s">
        <v>728</v>
      </c>
      <c r="L242" s="3" t="s">
        <v>974</v>
      </c>
      <c r="M242" s="3">
        <v>385.32</v>
      </c>
      <c r="N242" s="3">
        <v>606.76</v>
      </c>
      <c r="O242" s="3">
        <v>8.5999999999999993E-2</v>
      </c>
      <c r="P242" s="3">
        <v>8</v>
      </c>
      <c r="Q242" s="3">
        <v>4436.6291200000005</v>
      </c>
      <c r="R242" s="3">
        <f t="shared" si="15"/>
        <v>3082.56</v>
      </c>
      <c r="S242" s="3">
        <v>1354.0691200000006</v>
      </c>
      <c r="T242" s="3">
        <f t="shared" si="16"/>
        <v>0.30520223425842735</v>
      </c>
      <c r="U242" s="3" t="str">
        <f t="shared" si="17"/>
        <v>Sep-2023</v>
      </c>
      <c r="AB242" s="3">
        <f t="shared" si="18"/>
        <v>3082.56</v>
      </c>
      <c r="AC242" s="3">
        <f t="shared" si="19"/>
        <v>4436.6291200000005</v>
      </c>
    </row>
    <row r="243" spans="1:29" x14ac:dyDescent="0.35">
      <c r="A243" s="3" t="s">
        <v>255</v>
      </c>
      <c r="B243" s="4">
        <v>45793</v>
      </c>
      <c r="C243" s="4">
        <v>45804</v>
      </c>
      <c r="D243" s="5">
        <v>11</v>
      </c>
      <c r="E243" s="3" t="s">
        <v>647</v>
      </c>
      <c r="F243" s="3" t="s">
        <v>659</v>
      </c>
      <c r="G243" s="3" t="s">
        <v>699</v>
      </c>
      <c r="H243" s="3" t="s">
        <v>706</v>
      </c>
      <c r="I243" s="3" t="s">
        <v>708</v>
      </c>
      <c r="J243" s="3" t="s">
        <v>721</v>
      </c>
      <c r="K243" s="3" t="s">
        <v>730</v>
      </c>
      <c r="L243" s="3" t="s">
        <v>975</v>
      </c>
      <c r="M243" s="3">
        <v>918.12</v>
      </c>
      <c r="N243" s="3">
        <v>1337.69</v>
      </c>
      <c r="O243" s="3">
        <v>9.5000000000000001E-2</v>
      </c>
      <c r="P243" s="3">
        <v>8</v>
      </c>
      <c r="Q243" s="3">
        <v>9684.8756000000012</v>
      </c>
      <c r="R243" s="3">
        <f t="shared" si="15"/>
        <v>7344.96</v>
      </c>
      <c r="S243" s="3">
        <v>2339.9156000000012</v>
      </c>
      <c r="T243" s="3">
        <f t="shared" si="16"/>
        <v>0.24160512707050164</v>
      </c>
      <c r="U243" s="3" t="str">
        <f t="shared" si="17"/>
        <v>May-2025</v>
      </c>
      <c r="AB243" s="3">
        <f t="shared" si="18"/>
        <v>7344.96</v>
      </c>
      <c r="AC243" s="3">
        <f t="shared" si="19"/>
        <v>9684.8756000000012</v>
      </c>
    </row>
    <row r="244" spans="1:29" x14ac:dyDescent="0.35">
      <c r="A244" s="3" t="s">
        <v>256</v>
      </c>
      <c r="B244" s="4">
        <v>45871</v>
      </c>
      <c r="C244" s="4">
        <v>45877</v>
      </c>
      <c r="D244" s="5">
        <v>6</v>
      </c>
      <c r="E244" s="3" t="s">
        <v>647</v>
      </c>
      <c r="F244" s="3" t="s">
        <v>652</v>
      </c>
      <c r="G244" s="3" t="s">
        <v>666</v>
      </c>
      <c r="H244" s="3" t="s">
        <v>704</v>
      </c>
      <c r="I244" s="3" t="s">
        <v>711</v>
      </c>
      <c r="J244" s="3" t="s">
        <v>725</v>
      </c>
      <c r="K244" s="3" t="s">
        <v>731</v>
      </c>
      <c r="L244" s="3" t="s">
        <v>976</v>
      </c>
      <c r="M244" s="3">
        <v>1225.94</v>
      </c>
      <c r="N244" s="3">
        <v>1793.08</v>
      </c>
      <c r="O244" s="3">
        <v>0.13600000000000001</v>
      </c>
      <c r="P244" s="3">
        <v>22</v>
      </c>
      <c r="Q244" s="3">
        <v>34082.864639999993</v>
      </c>
      <c r="R244" s="3">
        <f t="shared" si="15"/>
        <v>26970.68</v>
      </c>
      <c r="S244" s="3">
        <v>7112.1846399999922</v>
      </c>
      <c r="T244" s="3">
        <f t="shared" si="16"/>
        <v>0.20867332353434462</v>
      </c>
      <c r="U244" s="3" t="str">
        <f t="shared" si="17"/>
        <v>Aug-2025</v>
      </c>
      <c r="AB244" s="3">
        <f t="shared" si="18"/>
        <v>26970.68</v>
      </c>
      <c r="AC244" s="3">
        <f t="shared" si="19"/>
        <v>34082.864639999993</v>
      </c>
    </row>
    <row r="245" spans="1:29" x14ac:dyDescent="0.35">
      <c r="A245" s="3" t="s">
        <v>257</v>
      </c>
      <c r="B245" s="4">
        <v>45630</v>
      </c>
      <c r="C245" s="4">
        <v>45638</v>
      </c>
      <c r="D245" s="5">
        <v>8</v>
      </c>
      <c r="E245" s="3" t="s">
        <v>649</v>
      </c>
      <c r="F245" s="3" t="s">
        <v>656</v>
      </c>
      <c r="G245" s="3" t="s">
        <v>698</v>
      </c>
      <c r="H245" s="3" t="s">
        <v>706</v>
      </c>
      <c r="I245" s="3" t="s">
        <v>709</v>
      </c>
      <c r="J245" s="3" t="s">
        <v>717</v>
      </c>
      <c r="K245" s="3" t="s">
        <v>728</v>
      </c>
      <c r="L245" s="3" t="s">
        <v>977</v>
      </c>
      <c r="M245" s="3">
        <v>72.06</v>
      </c>
      <c r="N245" s="3">
        <v>122.74</v>
      </c>
      <c r="O245" s="3">
        <v>0.23799999999999999</v>
      </c>
      <c r="P245" s="3">
        <v>8</v>
      </c>
      <c r="Q245" s="3">
        <v>748.22303999999997</v>
      </c>
      <c r="R245" s="3">
        <f t="shared" si="15"/>
        <v>576.48</v>
      </c>
      <c r="S245" s="3">
        <v>171.74303999999995</v>
      </c>
      <c r="T245" s="3">
        <f t="shared" si="16"/>
        <v>0.22953455162246802</v>
      </c>
      <c r="U245" s="3" t="str">
        <f t="shared" si="17"/>
        <v>Dec-2024</v>
      </c>
      <c r="AB245" s="3">
        <f t="shared" si="18"/>
        <v>576.48</v>
      </c>
      <c r="AC245" s="3">
        <f t="shared" si="19"/>
        <v>785.53600000000006</v>
      </c>
    </row>
    <row r="246" spans="1:29" x14ac:dyDescent="0.35">
      <c r="A246" s="3" t="s">
        <v>258</v>
      </c>
      <c r="B246" s="4">
        <v>45035</v>
      </c>
      <c r="C246" s="4">
        <v>45044</v>
      </c>
      <c r="D246" s="5">
        <v>9</v>
      </c>
      <c r="E246" s="3" t="s">
        <v>648</v>
      </c>
      <c r="F246" s="3" t="s">
        <v>655</v>
      </c>
      <c r="G246" s="3" t="s">
        <v>692</v>
      </c>
      <c r="H246" s="3" t="s">
        <v>701</v>
      </c>
      <c r="I246" s="3" t="s">
        <v>710</v>
      </c>
      <c r="J246" s="3" t="s">
        <v>724</v>
      </c>
      <c r="K246" s="3" t="s">
        <v>730</v>
      </c>
      <c r="L246" s="3" t="s">
        <v>978</v>
      </c>
      <c r="M246" s="3">
        <v>1013.54</v>
      </c>
      <c r="N246" s="3">
        <v>927.93</v>
      </c>
      <c r="O246" s="3">
        <v>0.17499999999999999</v>
      </c>
      <c r="P246" s="3">
        <v>16</v>
      </c>
      <c r="Q246" s="3">
        <v>12248.675999999999</v>
      </c>
      <c r="R246" s="3">
        <f t="shared" si="15"/>
        <v>16216.64</v>
      </c>
      <c r="S246" s="3">
        <v>3967.9639999999999</v>
      </c>
      <c r="T246" s="3">
        <f t="shared" si="16"/>
        <v>0.32395044166406234</v>
      </c>
      <c r="U246" s="3" t="str">
        <f t="shared" si="17"/>
        <v>Apr-2023</v>
      </c>
      <c r="AB246" s="3">
        <f t="shared" si="18"/>
        <v>16216.64</v>
      </c>
      <c r="AC246" s="3">
        <f t="shared" si="19"/>
        <v>12248.675999999999</v>
      </c>
    </row>
    <row r="247" spans="1:29" x14ac:dyDescent="0.35">
      <c r="A247" s="3" t="s">
        <v>259</v>
      </c>
      <c r="B247" s="4">
        <v>45357</v>
      </c>
      <c r="C247" s="4">
        <v>45377</v>
      </c>
      <c r="D247" s="5">
        <v>20</v>
      </c>
      <c r="E247" s="3" t="s">
        <v>646</v>
      </c>
      <c r="F247" s="3" t="s">
        <v>651</v>
      </c>
      <c r="G247" s="3" t="s">
        <v>663</v>
      </c>
      <c r="H247" s="3" t="s">
        <v>704</v>
      </c>
      <c r="I247" s="3" t="s">
        <v>709</v>
      </c>
      <c r="J247" s="3" t="s">
        <v>714</v>
      </c>
      <c r="K247" s="3" t="s">
        <v>730</v>
      </c>
      <c r="L247" s="3" t="s">
        <v>979</v>
      </c>
      <c r="M247" s="3">
        <v>65.64</v>
      </c>
      <c r="N247" s="3">
        <v>151.88</v>
      </c>
      <c r="O247" s="3">
        <v>0.16700000000000001</v>
      </c>
      <c r="P247" s="3">
        <v>23</v>
      </c>
      <c r="Q247" s="3">
        <v>2909.8689199999999</v>
      </c>
      <c r="R247" s="3">
        <f t="shared" si="15"/>
        <v>1509.72</v>
      </c>
      <c r="S247" s="3">
        <v>1400.1489199999999</v>
      </c>
      <c r="T247" s="3">
        <f t="shared" si="16"/>
        <v>0.48117250587356353</v>
      </c>
      <c r="U247" s="3" t="str">
        <f t="shared" si="17"/>
        <v>Mar-2024</v>
      </c>
      <c r="AB247" s="3">
        <f t="shared" si="18"/>
        <v>1509.72</v>
      </c>
      <c r="AC247" s="3">
        <f t="shared" si="19"/>
        <v>2909.8689199999999</v>
      </c>
    </row>
    <row r="248" spans="1:29" x14ac:dyDescent="0.35">
      <c r="A248" s="3" t="s">
        <v>260</v>
      </c>
      <c r="B248" s="4">
        <v>45338</v>
      </c>
      <c r="C248" s="4">
        <v>45355</v>
      </c>
      <c r="D248" s="5">
        <v>17</v>
      </c>
      <c r="E248" s="3" t="s">
        <v>648</v>
      </c>
      <c r="F248" s="3" t="s">
        <v>653</v>
      </c>
      <c r="G248" s="3" t="s">
        <v>681</v>
      </c>
      <c r="H248" s="3" t="s">
        <v>703</v>
      </c>
      <c r="I248" s="3" t="s">
        <v>707</v>
      </c>
      <c r="J248" s="3" t="s">
        <v>726</v>
      </c>
      <c r="K248" s="3" t="s">
        <v>731</v>
      </c>
      <c r="L248" s="3" t="s">
        <v>980</v>
      </c>
      <c r="M248" s="3">
        <v>1350.98</v>
      </c>
      <c r="N248" s="3">
        <v>2210.4</v>
      </c>
      <c r="O248" s="3">
        <v>0.26300000000000001</v>
      </c>
      <c r="P248" s="3">
        <v>6</v>
      </c>
      <c r="Q248" s="3">
        <v>9774.3888000000006</v>
      </c>
      <c r="R248" s="3">
        <f t="shared" si="15"/>
        <v>8105.88</v>
      </c>
      <c r="S248" s="3">
        <v>1668.5088000000005</v>
      </c>
      <c r="T248" s="3">
        <f t="shared" si="16"/>
        <v>0.17070211080615091</v>
      </c>
      <c r="U248" s="3" t="str">
        <f t="shared" si="17"/>
        <v>Feb-2024</v>
      </c>
      <c r="AB248" s="3">
        <f t="shared" si="18"/>
        <v>8105.88</v>
      </c>
      <c r="AC248" s="3">
        <f t="shared" si="19"/>
        <v>10609.920000000002</v>
      </c>
    </row>
    <row r="249" spans="1:29" x14ac:dyDescent="0.35">
      <c r="A249" s="3" t="s">
        <v>261</v>
      </c>
      <c r="B249" s="4">
        <v>45769</v>
      </c>
      <c r="C249" s="4">
        <v>45779</v>
      </c>
      <c r="D249" s="5">
        <v>10</v>
      </c>
      <c r="E249" s="3" t="s">
        <v>649</v>
      </c>
      <c r="F249" s="3" t="s">
        <v>656</v>
      </c>
      <c r="G249" s="3" t="s">
        <v>671</v>
      </c>
      <c r="H249" s="3" t="s">
        <v>701</v>
      </c>
      <c r="I249" s="3" t="s">
        <v>709</v>
      </c>
      <c r="J249" s="3" t="s">
        <v>712</v>
      </c>
      <c r="K249" s="3" t="s">
        <v>732</v>
      </c>
      <c r="L249" s="3" t="s">
        <v>981</v>
      </c>
      <c r="M249" s="3">
        <v>20.149999999999999</v>
      </c>
      <c r="N249" s="3">
        <v>39.74</v>
      </c>
      <c r="O249" s="3">
        <v>0.151</v>
      </c>
      <c r="P249" s="3">
        <v>18</v>
      </c>
      <c r="Q249" s="3">
        <v>607.30668000000003</v>
      </c>
      <c r="R249" s="3">
        <f t="shared" si="15"/>
        <v>362.7</v>
      </c>
      <c r="S249" s="3">
        <v>244.60668000000004</v>
      </c>
      <c r="T249" s="3">
        <f t="shared" si="16"/>
        <v>0.4027729120318585</v>
      </c>
      <c r="U249" s="3" t="str">
        <f t="shared" si="17"/>
        <v>Apr-2025</v>
      </c>
      <c r="AB249" s="3">
        <f t="shared" si="18"/>
        <v>362.7</v>
      </c>
      <c r="AC249" s="3">
        <f t="shared" si="19"/>
        <v>607.30668000000003</v>
      </c>
    </row>
    <row r="250" spans="1:29" x14ac:dyDescent="0.35">
      <c r="A250" s="3" t="s">
        <v>262</v>
      </c>
      <c r="B250" s="4">
        <v>45604</v>
      </c>
      <c r="C250" s="4">
        <v>45604</v>
      </c>
      <c r="D250" s="5">
        <v>0</v>
      </c>
      <c r="E250" s="3" t="s">
        <v>646</v>
      </c>
      <c r="F250" s="3" t="s">
        <v>650</v>
      </c>
      <c r="G250" s="3" t="s">
        <v>678</v>
      </c>
      <c r="H250" s="3" t="s">
        <v>706</v>
      </c>
      <c r="I250" s="3" t="s">
        <v>709</v>
      </c>
      <c r="J250" s="3" t="s">
        <v>724</v>
      </c>
      <c r="K250" s="3" t="s">
        <v>729</v>
      </c>
      <c r="L250" s="3" t="s">
        <v>982</v>
      </c>
      <c r="M250" s="3">
        <v>803.28</v>
      </c>
      <c r="N250" s="3">
        <v>1009</v>
      </c>
      <c r="O250" s="3">
        <v>0.11</v>
      </c>
      <c r="P250" s="3">
        <v>4</v>
      </c>
      <c r="Q250" s="3">
        <v>3592.04</v>
      </c>
      <c r="R250" s="3">
        <f t="shared" si="15"/>
        <v>3213.12</v>
      </c>
      <c r="S250" s="3">
        <v>378.92000000000007</v>
      </c>
      <c r="T250" s="3">
        <f t="shared" si="16"/>
        <v>0.10548880302001093</v>
      </c>
      <c r="U250" s="3" t="str">
        <f t="shared" si="17"/>
        <v>Nov-2024</v>
      </c>
      <c r="AB250" s="3">
        <f t="shared" si="18"/>
        <v>3213.12</v>
      </c>
      <c r="AC250" s="3">
        <f t="shared" si="19"/>
        <v>3592.04</v>
      </c>
    </row>
    <row r="251" spans="1:29" x14ac:dyDescent="0.35">
      <c r="A251" s="3" t="s">
        <v>263</v>
      </c>
      <c r="B251" s="4">
        <v>45912</v>
      </c>
      <c r="C251" s="4">
        <v>45930</v>
      </c>
      <c r="D251" s="5">
        <v>18</v>
      </c>
      <c r="E251" s="3" t="s">
        <v>647</v>
      </c>
      <c r="F251" s="3" t="s">
        <v>652</v>
      </c>
      <c r="G251" s="3" t="s">
        <v>694</v>
      </c>
      <c r="H251" s="3" t="s">
        <v>703</v>
      </c>
      <c r="I251" s="3" t="s">
        <v>709</v>
      </c>
      <c r="J251" s="3" t="s">
        <v>721</v>
      </c>
      <c r="K251" s="3" t="s">
        <v>732</v>
      </c>
      <c r="L251" s="3" t="s">
        <v>983</v>
      </c>
      <c r="M251" s="3">
        <v>1212.99</v>
      </c>
      <c r="N251" s="3">
        <v>1653.64</v>
      </c>
      <c r="O251" s="3">
        <v>0.107</v>
      </c>
      <c r="P251" s="3">
        <v>8</v>
      </c>
      <c r="Q251" s="3">
        <v>11813.604160000001</v>
      </c>
      <c r="R251" s="3">
        <f t="shared" si="15"/>
        <v>9703.92</v>
      </c>
      <c r="S251" s="3">
        <v>2109.6841600000007</v>
      </c>
      <c r="T251" s="3">
        <f t="shared" si="16"/>
        <v>0.17858090819931455</v>
      </c>
      <c r="U251" s="3" t="str">
        <f t="shared" si="17"/>
        <v>Sep-2025</v>
      </c>
      <c r="AB251" s="3">
        <f t="shared" si="18"/>
        <v>9703.92</v>
      </c>
      <c r="AC251" s="3">
        <f t="shared" si="19"/>
        <v>11813.604160000001</v>
      </c>
    </row>
    <row r="252" spans="1:29" x14ac:dyDescent="0.35">
      <c r="A252" s="3" t="s">
        <v>264</v>
      </c>
      <c r="B252" s="4">
        <v>45537</v>
      </c>
      <c r="C252" s="4">
        <v>45543</v>
      </c>
      <c r="D252" s="5">
        <v>6</v>
      </c>
      <c r="E252" s="3" t="s">
        <v>648</v>
      </c>
      <c r="F252" s="3" t="s">
        <v>660</v>
      </c>
      <c r="G252" s="3" t="s">
        <v>697</v>
      </c>
      <c r="H252" s="3" t="s">
        <v>704</v>
      </c>
      <c r="I252" s="3" t="s">
        <v>711</v>
      </c>
      <c r="J252" s="3" t="s">
        <v>722</v>
      </c>
      <c r="K252" s="3" t="s">
        <v>727</v>
      </c>
      <c r="L252" s="3" t="s">
        <v>984</v>
      </c>
      <c r="M252" s="3">
        <v>462.94</v>
      </c>
      <c r="N252" s="3">
        <v>1015.7</v>
      </c>
      <c r="O252" s="3">
        <v>0.14299999999999999</v>
      </c>
      <c r="P252" s="3">
        <v>14</v>
      </c>
      <c r="Q252" s="3">
        <v>12186.368600000002</v>
      </c>
      <c r="R252" s="3">
        <f t="shared" si="15"/>
        <v>6481.16</v>
      </c>
      <c r="S252" s="3">
        <v>5705.2086000000018</v>
      </c>
      <c r="T252" s="3">
        <f t="shared" si="16"/>
        <v>0.46816314090483041</v>
      </c>
      <c r="U252" s="3" t="str">
        <f t="shared" si="17"/>
        <v>Sep-2024</v>
      </c>
      <c r="AB252" s="3">
        <f t="shared" si="18"/>
        <v>6481.16</v>
      </c>
      <c r="AC252" s="3">
        <f t="shared" si="19"/>
        <v>12186.368600000002</v>
      </c>
    </row>
    <row r="253" spans="1:29" x14ac:dyDescent="0.35">
      <c r="A253" s="3" t="s">
        <v>265</v>
      </c>
      <c r="B253" s="4">
        <v>44989</v>
      </c>
      <c r="C253" s="4">
        <v>45009</v>
      </c>
      <c r="D253" s="5">
        <v>20</v>
      </c>
      <c r="E253" s="3" t="s">
        <v>648</v>
      </c>
      <c r="F253" s="3" t="s">
        <v>653</v>
      </c>
      <c r="G253" s="3" t="s">
        <v>681</v>
      </c>
      <c r="H253" s="3" t="s">
        <v>704</v>
      </c>
      <c r="I253" s="3" t="s">
        <v>710</v>
      </c>
      <c r="J253" s="3" t="s">
        <v>714</v>
      </c>
      <c r="K253" s="3" t="s">
        <v>731</v>
      </c>
      <c r="L253" s="3" t="s">
        <v>985</v>
      </c>
      <c r="M253" s="3">
        <v>481.71</v>
      </c>
      <c r="N253" s="3">
        <v>912.45</v>
      </c>
      <c r="O253" s="3">
        <v>0.20300000000000001</v>
      </c>
      <c r="P253" s="3">
        <v>24</v>
      </c>
      <c r="Q253" s="3">
        <v>17453.3436</v>
      </c>
      <c r="R253" s="3">
        <f t="shared" si="15"/>
        <v>11561.039999999999</v>
      </c>
      <c r="S253" s="3">
        <v>5892.3036000000011</v>
      </c>
      <c r="T253" s="3">
        <f t="shared" si="16"/>
        <v>0.33760313983619739</v>
      </c>
      <c r="U253" s="3" t="str">
        <f t="shared" si="17"/>
        <v>Mar-2023</v>
      </c>
      <c r="AB253" s="3">
        <f t="shared" si="18"/>
        <v>11561.039999999999</v>
      </c>
      <c r="AC253" s="3">
        <f t="shared" si="19"/>
        <v>17519.040000000005</v>
      </c>
    </row>
    <row r="254" spans="1:29" x14ac:dyDescent="0.35">
      <c r="A254" s="3" t="s">
        <v>266</v>
      </c>
      <c r="B254" s="4">
        <v>45366</v>
      </c>
      <c r="C254" s="4">
        <v>45391</v>
      </c>
      <c r="D254" s="5">
        <v>25</v>
      </c>
      <c r="E254" s="3" t="s">
        <v>648</v>
      </c>
      <c r="F254" s="3" t="s">
        <v>653</v>
      </c>
      <c r="G254" s="3" t="s">
        <v>688</v>
      </c>
      <c r="H254" s="3" t="s">
        <v>704</v>
      </c>
      <c r="I254" s="3" t="s">
        <v>708</v>
      </c>
      <c r="J254" s="3" t="s">
        <v>721</v>
      </c>
      <c r="K254" s="3" t="s">
        <v>732</v>
      </c>
      <c r="L254" s="3" t="s">
        <v>986</v>
      </c>
      <c r="M254" s="3">
        <v>648.64</v>
      </c>
      <c r="N254" s="3">
        <v>815.19</v>
      </c>
      <c r="O254" s="3">
        <v>0.22500000000000001</v>
      </c>
      <c r="P254" s="3">
        <v>28</v>
      </c>
      <c r="Q254" s="3">
        <v>17689.623</v>
      </c>
      <c r="R254" s="3">
        <f t="shared" si="15"/>
        <v>18161.919999999998</v>
      </c>
      <c r="S254" s="3">
        <v>472.29699999999866</v>
      </c>
      <c r="T254" s="3">
        <f t="shared" si="16"/>
        <v>2.6699099240272032E-2</v>
      </c>
      <c r="U254" s="3" t="str">
        <f t="shared" si="17"/>
        <v>Mar-2024</v>
      </c>
      <c r="AB254" s="3">
        <f t="shared" si="18"/>
        <v>18161.919999999998</v>
      </c>
      <c r="AC254" s="3">
        <f t="shared" si="19"/>
        <v>18260.256000000001</v>
      </c>
    </row>
    <row r="255" spans="1:29" x14ac:dyDescent="0.35">
      <c r="A255" s="3" t="s">
        <v>267</v>
      </c>
      <c r="B255" s="4">
        <v>45502</v>
      </c>
      <c r="C255" s="4">
        <v>45504</v>
      </c>
      <c r="D255" s="5">
        <v>2</v>
      </c>
      <c r="E255" s="3" t="s">
        <v>648</v>
      </c>
      <c r="F255" s="3" t="s">
        <v>660</v>
      </c>
      <c r="G255" s="3" t="s">
        <v>700</v>
      </c>
      <c r="H255" s="3" t="s">
        <v>702</v>
      </c>
      <c r="I255" s="3" t="s">
        <v>709</v>
      </c>
      <c r="J255" s="3" t="s">
        <v>714</v>
      </c>
      <c r="K255" s="3" t="s">
        <v>728</v>
      </c>
      <c r="L255" s="3" t="s">
        <v>987</v>
      </c>
      <c r="M255" s="3">
        <v>798.97</v>
      </c>
      <c r="N255" s="3">
        <v>1814.06</v>
      </c>
      <c r="O255" s="3">
        <v>0.122</v>
      </c>
      <c r="P255" s="3">
        <v>16</v>
      </c>
      <c r="Q255" s="3">
        <v>25483.91488</v>
      </c>
      <c r="R255" s="3">
        <f t="shared" si="15"/>
        <v>12783.52</v>
      </c>
      <c r="S255" s="3">
        <v>12700.39488</v>
      </c>
      <c r="T255" s="3">
        <f t="shared" si="16"/>
        <v>0.49836906691159061</v>
      </c>
      <c r="U255" s="3" t="str">
        <f t="shared" si="17"/>
        <v>Jul-2024</v>
      </c>
      <c r="AB255" s="3">
        <f t="shared" si="18"/>
        <v>12783.52</v>
      </c>
      <c r="AC255" s="3">
        <f t="shared" si="19"/>
        <v>25483.91488</v>
      </c>
    </row>
    <row r="256" spans="1:29" x14ac:dyDescent="0.35">
      <c r="A256" s="3" t="s">
        <v>268</v>
      </c>
      <c r="B256" s="4">
        <v>45592</v>
      </c>
      <c r="C256" s="4">
        <v>45616</v>
      </c>
      <c r="D256" s="5">
        <v>24</v>
      </c>
      <c r="E256" s="3" t="s">
        <v>647</v>
      </c>
      <c r="F256" s="3" t="s">
        <v>652</v>
      </c>
      <c r="G256" s="3" t="s">
        <v>694</v>
      </c>
      <c r="H256" s="3" t="s">
        <v>703</v>
      </c>
      <c r="I256" s="3" t="s">
        <v>708</v>
      </c>
      <c r="J256" s="3" t="s">
        <v>722</v>
      </c>
      <c r="K256" s="3" t="s">
        <v>732</v>
      </c>
      <c r="L256" s="3" t="s">
        <v>988</v>
      </c>
      <c r="M256" s="3">
        <v>317.25</v>
      </c>
      <c r="N256" s="3">
        <v>758.92</v>
      </c>
      <c r="O256" s="3">
        <v>5.2999999999999999E-2</v>
      </c>
      <c r="P256" s="3">
        <v>9</v>
      </c>
      <c r="Q256" s="3">
        <v>6468.2751599999992</v>
      </c>
      <c r="R256" s="3">
        <f t="shared" si="15"/>
        <v>2855.25</v>
      </c>
      <c r="S256" s="3">
        <v>3613.0251599999992</v>
      </c>
      <c r="T256" s="3">
        <f t="shared" si="16"/>
        <v>0.5585762928489888</v>
      </c>
      <c r="U256" s="3" t="str">
        <f t="shared" si="17"/>
        <v>Oct-2024</v>
      </c>
      <c r="AB256" s="3">
        <f t="shared" si="18"/>
        <v>2855.25</v>
      </c>
      <c r="AC256" s="3">
        <f t="shared" si="19"/>
        <v>6468.2751599999992</v>
      </c>
    </row>
    <row r="257" spans="1:29" x14ac:dyDescent="0.35">
      <c r="A257" s="3" t="s">
        <v>269</v>
      </c>
      <c r="B257" s="4">
        <v>45411</v>
      </c>
      <c r="C257" s="4">
        <v>45431</v>
      </c>
      <c r="D257" s="5">
        <v>20</v>
      </c>
      <c r="E257" s="3" t="s">
        <v>649</v>
      </c>
      <c r="F257" s="3" t="s">
        <v>656</v>
      </c>
      <c r="G257" s="3" t="s">
        <v>698</v>
      </c>
      <c r="H257" s="3" t="s">
        <v>706</v>
      </c>
      <c r="I257" s="3" t="s">
        <v>709</v>
      </c>
      <c r="J257" s="3" t="s">
        <v>712</v>
      </c>
      <c r="K257" s="3" t="s">
        <v>731</v>
      </c>
      <c r="L257" s="3" t="s">
        <v>989</v>
      </c>
      <c r="M257" s="3">
        <v>668.97</v>
      </c>
      <c r="N257" s="3">
        <v>1667.44</v>
      </c>
      <c r="O257" s="3">
        <v>3.4000000000000002E-2</v>
      </c>
      <c r="P257" s="3">
        <v>15</v>
      </c>
      <c r="Q257" s="3">
        <v>24161.205600000001</v>
      </c>
      <c r="R257" s="3">
        <f t="shared" si="15"/>
        <v>10034.550000000001</v>
      </c>
      <c r="S257" s="3">
        <v>14126.6556</v>
      </c>
      <c r="T257" s="3">
        <f t="shared" si="16"/>
        <v>0.58468339013679016</v>
      </c>
      <c r="U257" s="3" t="str">
        <f t="shared" si="17"/>
        <v>Apr-2024</v>
      </c>
      <c r="AB257" s="3">
        <f t="shared" si="18"/>
        <v>10034.550000000001</v>
      </c>
      <c r="AC257" s="3">
        <f t="shared" si="19"/>
        <v>24161.205600000001</v>
      </c>
    </row>
    <row r="258" spans="1:29" x14ac:dyDescent="0.35">
      <c r="A258" s="3" t="s">
        <v>270</v>
      </c>
      <c r="B258" s="4">
        <v>45204</v>
      </c>
      <c r="C258" s="4">
        <v>45205</v>
      </c>
      <c r="D258" s="5">
        <v>1</v>
      </c>
      <c r="E258" s="3" t="s">
        <v>647</v>
      </c>
      <c r="F258" s="3" t="s">
        <v>654</v>
      </c>
      <c r="G258" s="3" t="s">
        <v>668</v>
      </c>
      <c r="H258" s="3" t="s">
        <v>703</v>
      </c>
      <c r="I258" s="3" t="s">
        <v>708</v>
      </c>
      <c r="J258" s="3" t="s">
        <v>714</v>
      </c>
      <c r="K258" s="3" t="s">
        <v>727</v>
      </c>
      <c r="L258" s="3" t="s">
        <v>990</v>
      </c>
      <c r="M258" s="3">
        <v>1470.26</v>
      </c>
      <c r="N258" s="3">
        <v>2562.5500000000002</v>
      </c>
      <c r="O258" s="3">
        <v>0.17299999999999999</v>
      </c>
      <c r="P258" s="3">
        <v>9</v>
      </c>
      <c r="Q258" s="3">
        <v>19073.059649999999</v>
      </c>
      <c r="R258" s="3">
        <f t="shared" si="15"/>
        <v>13232.34</v>
      </c>
      <c r="S258" s="3">
        <v>5840.7196499999991</v>
      </c>
      <c r="T258" s="3">
        <f t="shared" si="16"/>
        <v>0.30622877279157462</v>
      </c>
      <c r="U258" s="3" t="str">
        <f t="shared" si="17"/>
        <v>Oct-2023</v>
      </c>
      <c r="AB258" s="3">
        <f t="shared" si="18"/>
        <v>13232.34</v>
      </c>
      <c r="AC258" s="3">
        <f t="shared" si="19"/>
        <v>19073.059649999999</v>
      </c>
    </row>
    <row r="259" spans="1:29" x14ac:dyDescent="0.35">
      <c r="A259" s="3" t="s">
        <v>271</v>
      </c>
      <c r="B259" s="4">
        <v>45035</v>
      </c>
      <c r="C259" s="4">
        <v>45053</v>
      </c>
      <c r="D259" s="5">
        <v>18</v>
      </c>
      <c r="E259" s="3" t="s">
        <v>649</v>
      </c>
      <c r="F259" s="3" t="s">
        <v>658</v>
      </c>
      <c r="G259" s="3" t="s">
        <v>683</v>
      </c>
      <c r="H259" s="3" t="s">
        <v>703</v>
      </c>
      <c r="I259" s="3" t="s">
        <v>711</v>
      </c>
      <c r="J259" s="3" t="s">
        <v>722</v>
      </c>
      <c r="K259" s="3" t="s">
        <v>729</v>
      </c>
      <c r="L259" s="3" t="s">
        <v>991</v>
      </c>
      <c r="M259" s="3">
        <v>516.96</v>
      </c>
      <c r="N259" s="3">
        <v>745.38</v>
      </c>
      <c r="O259" s="3">
        <v>0.19700000000000001</v>
      </c>
      <c r="P259" s="3">
        <v>4</v>
      </c>
      <c r="Q259" s="3">
        <v>2394.1605599999998</v>
      </c>
      <c r="R259" s="3">
        <f t="shared" ref="R259:R322" si="20">M259*P259</f>
        <v>2067.84</v>
      </c>
      <c r="S259" s="3">
        <v>326.32055999999966</v>
      </c>
      <c r="T259" s="3">
        <f t="shared" ref="T259:T322" si="21">IF(Q259=0,0,S259/Q259)</f>
        <v>0.13629852794835101</v>
      </c>
      <c r="U259" s="3" t="str">
        <f t="shared" ref="U259:U322" si="22">TEXT(B259, "mmm-yyyy")</f>
        <v>Apr-2023</v>
      </c>
      <c r="AB259" s="3">
        <f t="shared" ref="AB259:AB322" si="23">M259 * P259 * (1+ $AF$2)</f>
        <v>2067.84</v>
      </c>
      <c r="AC259" s="3">
        <f t="shared" ref="AC259:AC322" si="24">N259 * P259 * (1- MIN(O259, $AF$3))</f>
        <v>2394.1605599999998</v>
      </c>
    </row>
    <row r="260" spans="1:29" x14ac:dyDescent="0.35">
      <c r="A260" s="3" t="s">
        <v>272</v>
      </c>
      <c r="B260" s="4">
        <v>45835</v>
      </c>
      <c r="C260" s="4">
        <v>45843</v>
      </c>
      <c r="D260" s="5">
        <v>8</v>
      </c>
      <c r="E260" s="3" t="s">
        <v>649</v>
      </c>
      <c r="F260" s="3" t="s">
        <v>656</v>
      </c>
      <c r="G260" s="3" t="s">
        <v>684</v>
      </c>
      <c r="H260" s="3" t="s">
        <v>705</v>
      </c>
      <c r="I260" s="3" t="s">
        <v>711</v>
      </c>
      <c r="J260" s="3" t="s">
        <v>715</v>
      </c>
      <c r="K260" s="3" t="s">
        <v>732</v>
      </c>
      <c r="L260" s="3" t="s">
        <v>992</v>
      </c>
      <c r="M260" s="3">
        <v>314.93</v>
      </c>
      <c r="N260" s="3">
        <v>687.95</v>
      </c>
      <c r="O260" s="3">
        <v>0.20499999999999999</v>
      </c>
      <c r="P260" s="3">
        <v>8</v>
      </c>
      <c r="Q260" s="3">
        <v>4375.3620000000001</v>
      </c>
      <c r="R260" s="3">
        <f t="shared" si="20"/>
        <v>2519.44</v>
      </c>
      <c r="S260" s="3">
        <v>1855.922</v>
      </c>
      <c r="T260" s="3">
        <f t="shared" si="21"/>
        <v>0.424175645352316</v>
      </c>
      <c r="U260" s="3" t="str">
        <f t="shared" si="22"/>
        <v>Jun-2025</v>
      </c>
      <c r="AB260" s="3">
        <f t="shared" si="23"/>
        <v>2519.44</v>
      </c>
      <c r="AC260" s="3">
        <f t="shared" si="24"/>
        <v>4402.88</v>
      </c>
    </row>
    <row r="261" spans="1:29" x14ac:dyDescent="0.35">
      <c r="A261" s="3" t="s">
        <v>273</v>
      </c>
      <c r="B261" s="4">
        <v>45210</v>
      </c>
      <c r="C261" s="4">
        <v>45212</v>
      </c>
      <c r="D261" s="5">
        <v>2</v>
      </c>
      <c r="E261" s="3" t="s">
        <v>648</v>
      </c>
      <c r="F261" s="3" t="s">
        <v>655</v>
      </c>
      <c r="G261" s="3" t="s">
        <v>672</v>
      </c>
      <c r="H261" s="3" t="s">
        <v>704</v>
      </c>
      <c r="I261" s="3" t="s">
        <v>710</v>
      </c>
      <c r="J261" s="3" t="s">
        <v>1422</v>
      </c>
      <c r="K261" s="3" t="s">
        <v>733</v>
      </c>
      <c r="L261" s="3" t="s">
        <v>993</v>
      </c>
      <c r="M261" s="3">
        <v>715.94</v>
      </c>
      <c r="N261" s="3">
        <v>550.07000000000005</v>
      </c>
      <c r="O261" s="3">
        <v>0.14000000000000001</v>
      </c>
      <c r="P261" s="3">
        <v>16</v>
      </c>
      <c r="Q261" s="3">
        <v>7568.9632000000001</v>
      </c>
      <c r="R261" s="3">
        <f t="shared" si="20"/>
        <v>11455.04</v>
      </c>
      <c r="S261" s="3">
        <v>3886.0768000000007</v>
      </c>
      <c r="T261" s="3">
        <f t="shared" si="21"/>
        <v>0.51342260456491595</v>
      </c>
      <c r="U261" s="3" t="str">
        <f t="shared" si="22"/>
        <v>Oct-2023</v>
      </c>
      <c r="AB261" s="3">
        <f t="shared" si="23"/>
        <v>11455.04</v>
      </c>
      <c r="AC261" s="3">
        <f t="shared" si="24"/>
        <v>7568.9632000000001</v>
      </c>
    </row>
    <row r="262" spans="1:29" x14ac:dyDescent="0.35">
      <c r="A262" s="3" t="s">
        <v>274</v>
      </c>
      <c r="B262" s="4">
        <v>45066</v>
      </c>
      <c r="C262" s="4">
        <v>45084</v>
      </c>
      <c r="D262" s="5">
        <v>18</v>
      </c>
      <c r="E262" s="3" t="s">
        <v>646</v>
      </c>
      <c r="F262" s="3" t="s">
        <v>651</v>
      </c>
      <c r="G262" s="3" t="s">
        <v>663</v>
      </c>
      <c r="H262" s="3" t="s">
        <v>706</v>
      </c>
      <c r="I262" s="3" t="s">
        <v>710</v>
      </c>
      <c r="J262" s="3" t="s">
        <v>718</v>
      </c>
      <c r="K262" s="3" t="s">
        <v>727</v>
      </c>
      <c r="L262" s="3" t="s">
        <v>994</v>
      </c>
      <c r="M262" s="3">
        <v>1120.06</v>
      </c>
      <c r="N262" s="3">
        <v>2068.21</v>
      </c>
      <c r="O262" s="3">
        <v>7.8E-2</v>
      </c>
      <c r="P262" s="3">
        <v>12</v>
      </c>
      <c r="Q262" s="3">
        <v>22882.675440000003</v>
      </c>
      <c r="R262" s="3">
        <f t="shared" si="20"/>
        <v>13440.72</v>
      </c>
      <c r="S262" s="3">
        <v>9441.9554400000034</v>
      </c>
      <c r="T262" s="3">
        <f t="shared" si="21"/>
        <v>0.41262462795303284</v>
      </c>
      <c r="U262" s="3" t="str">
        <f t="shared" si="22"/>
        <v>May-2023</v>
      </c>
      <c r="AB262" s="3">
        <f t="shared" si="23"/>
        <v>13440.72</v>
      </c>
      <c r="AC262" s="3">
        <f t="shared" si="24"/>
        <v>22882.675440000003</v>
      </c>
    </row>
    <row r="263" spans="1:29" x14ac:dyDescent="0.35">
      <c r="A263" s="3" t="s">
        <v>275</v>
      </c>
      <c r="B263" s="4">
        <v>45073</v>
      </c>
      <c r="C263" s="4">
        <v>45096</v>
      </c>
      <c r="D263" s="5">
        <v>23</v>
      </c>
      <c r="E263" s="3" t="s">
        <v>649</v>
      </c>
      <c r="F263" s="3" t="s">
        <v>656</v>
      </c>
      <c r="G263" s="3" t="s">
        <v>671</v>
      </c>
      <c r="H263" s="3" t="s">
        <v>702</v>
      </c>
      <c r="I263" s="3" t="s">
        <v>707</v>
      </c>
      <c r="J263" s="3" t="s">
        <v>719</v>
      </c>
      <c r="K263" s="3" t="s">
        <v>733</v>
      </c>
      <c r="L263" s="3" t="s">
        <v>995</v>
      </c>
      <c r="M263" s="3">
        <v>1471.58</v>
      </c>
      <c r="N263" s="3">
        <v>2576.65</v>
      </c>
      <c r="O263" s="3">
        <v>4.0000000000000001E-3</v>
      </c>
      <c r="P263" s="3">
        <v>7</v>
      </c>
      <c r="Q263" s="3">
        <v>17964.4038</v>
      </c>
      <c r="R263" s="3">
        <f t="shared" si="20"/>
        <v>10301.06</v>
      </c>
      <c r="S263" s="3">
        <v>7663.3438000000006</v>
      </c>
      <c r="T263" s="3">
        <f t="shared" si="21"/>
        <v>0.4265849223451546</v>
      </c>
      <c r="U263" s="3" t="str">
        <f t="shared" si="22"/>
        <v>May-2023</v>
      </c>
      <c r="AB263" s="3">
        <f t="shared" si="23"/>
        <v>10301.06</v>
      </c>
      <c r="AC263" s="3">
        <f t="shared" si="24"/>
        <v>17964.4038</v>
      </c>
    </row>
    <row r="264" spans="1:29" x14ac:dyDescent="0.35">
      <c r="A264" s="3" t="s">
        <v>276</v>
      </c>
      <c r="B264" s="4">
        <v>45142</v>
      </c>
      <c r="C264" s="4">
        <v>45162</v>
      </c>
      <c r="D264" s="5">
        <v>20</v>
      </c>
      <c r="E264" s="3" t="s">
        <v>648</v>
      </c>
      <c r="F264" s="3" t="s">
        <v>655</v>
      </c>
      <c r="G264" s="3" t="s">
        <v>672</v>
      </c>
      <c r="H264" s="3" t="s">
        <v>703</v>
      </c>
      <c r="I264" s="3" t="s">
        <v>711</v>
      </c>
      <c r="J264" s="3" t="s">
        <v>1422</v>
      </c>
      <c r="K264" s="3" t="s">
        <v>729</v>
      </c>
      <c r="L264" s="3" t="s">
        <v>996</v>
      </c>
      <c r="M264" s="3">
        <v>582.88</v>
      </c>
      <c r="N264" s="3">
        <v>1044.1400000000001</v>
      </c>
      <c r="O264" s="3">
        <v>0.216</v>
      </c>
      <c r="P264" s="3">
        <v>10</v>
      </c>
      <c r="Q264" s="3">
        <v>8186.057600000001</v>
      </c>
      <c r="R264" s="3">
        <f t="shared" si="20"/>
        <v>5828.8</v>
      </c>
      <c r="S264" s="3">
        <v>2357.2576000000008</v>
      </c>
      <c r="T264" s="3">
        <f t="shared" si="21"/>
        <v>0.28796005539956138</v>
      </c>
      <c r="U264" s="3" t="str">
        <f t="shared" si="22"/>
        <v>Aug-2023</v>
      </c>
      <c r="AB264" s="3">
        <f t="shared" si="23"/>
        <v>5828.8</v>
      </c>
      <c r="AC264" s="3">
        <f t="shared" si="24"/>
        <v>8353.1200000000008</v>
      </c>
    </row>
    <row r="265" spans="1:29" x14ac:dyDescent="0.35">
      <c r="A265" s="3" t="s">
        <v>277</v>
      </c>
      <c r="B265" s="4">
        <v>45829</v>
      </c>
      <c r="C265" s="4">
        <v>45835</v>
      </c>
      <c r="D265" s="5">
        <v>6</v>
      </c>
      <c r="E265" s="3" t="s">
        <v>646</v>
      </c>
      <c r="F265" s="3" t="s">
        <v>661</v>
      </c>
      <c r="G265" s="3" t="s">
        <v>687</v>
      </c>
      <c r="H265" s="3" t="s">
        <v>706</v>
      </c>
      <c r="I265" s="3" t="s">
        <v>710</v>
      </c>
      <c r="J265" s="3" t="s">
        <v>725</v>
      </c>
      <c r="K265" s="3" t="s">
        <v>730</v>
      </c>
      <c r="L265" s="3" t="s">
        <v>997</v>
      </c>
      <c r="M265" s="3">
        <v>93.91</v>
      </c>
      <c r="N265" s="3">
        <v>99.04</v>
      </c>
      <c r="O265" s="3">
        <v>5.7000000000000002E-2</v>
      </c>
      <c r="P265" s="3">
        <v>6</v>
      </c>
      <c r="Q265" s="3">
        <v>560.36831999999993</v>
      </c>
      <c r="R265" s="3">
        <f t="shared" si="20"/>
        <v>563.46</v>
      </c>
      <c r="S265" s="3">
        <v>3.0916800000001103</v>
      </c>
      <c r="T265" s="3">
        <f t="shared" si="21"/>
        <v>5.5172283829323376E-3</v>
      </c>
      <c r="U265" s="3" t="str">
        <f t="shared" si="22"/>
        <v>Jun-2025</v>
      </c>
      <c r="AB265" s="3">
        <f t="shared" si="23"/>
        <v>563.46</v>
      </c>
      <c r="AC265" s="3">
        <f t="shared" si="24"/>
        <v>560.36831999999993</v>
      </c>
    </row>
    <row r="266" spans="1:29" x14ac:dyDescent="0.35">
      <c r="A266" s="3" t="s">
        <v>278</v>
      </c>
      <c r="B266" s="4">
        <v>45763</v>
      </c>
      <c r="C266" s="4">
        <v>45773</v>
      </c>
      <c r="D266" s="5">
        <v>10</v>
      </c>
      <c r="E266" s="3" t="s">
        <v>646</v>
      </c>
      <c r="F266" s="3" t="s">
        <v>651</v>
      </c>
      <c r="G266" s="3" t="s">
        <v>663</v>
      </c>
      <c r="H266" s="3" t="s">
        <v>706</v>
      </c>
      <c r="I266" s="3" t="s">
        <v>709</v>
      </c>
      <c r="J266" s="3" t="s">
        <v>721</v>
      </c>
      <c r="K266" s="3" t="s">
        <v>731</v>
      </c>
      <c r="L266" s="3" t="s">
        <v>998</v>
      </c>
      <c r="M266" s="3">
        <v>1457.44</v>
      </c>
      <c r="N266" s="3">
        <v>1996.81</v>
      </c>
      <c r="O266" s="3">
        <v>0.126</v>
      </c>
      <c r="P266" s="3">
        <v>23</v>
      </c>
      <c r="Q266" s="3">
        <v>40139.874619999995</v>
      </c>
      <c r="R266" s="3">
        <f t="shared" si="20"/>
        <v>33521.120000000003</v>
      </c>
      <c r="S266" s="3">
        <v>6618.7546199999924</v>
      </c>
      <c r="T266" s="3">
        <f t="shared" si="21"/>
        <v>0.16489225944672353</v>
      </c>
      <c r="U266" s="3" t="str">
        <f t="shared" si="22"/>
        <v>Apr-2025</v>
      </c>
      <c r="AB266" s="3">
        <f t="shared" si="23"/>
        <v>33521.120000000003</v>
      </c>
      <c r="AC266" s="3">
        <f t="shared" si="24"/>
        <v>40139.874619999995</v>
      </c>
    </row>
    <row r="267" spans="1:29" x14ac:dyDescent="0.35">
      <c r="A267" s="3" t="s">
        <v>279</v>
      </c>
      <c r="B267" s="4">
        <v>45902</v>
      </c>
      <c r="C267" s="4">
        <v>45911</v>
      </c>
      <c r="D267" s="5">
        <v>9</v>
      </c>
      <c r="E267" s="3" t="s">
        <v>648</v>
      </c>
      <c r="F267" s="3" t="s">
        <v>653</v>
      </c>
      <c r="G267" s="3" t="s">
        <v>667</v>
      </c>
      <c r="H267" s="3" t="s">
        <v>701</v>
      </c>
      <c r="I267" s="3" t="s">
        <v>710</v>
      </c>
      <c r="J267" s="3" t="s">
        <v>724</v>
      </c>
      <c r="K267" s="3" t="s">
        <v>728</v>
      </c>
      <c r="L267" s="3" t="s">
        <v>999</v>
      </c>
      <c r="M267" s="3">
        <v>1207.6300000000001</v>
      </c>
      <c r="N267" s="3">
        <v>921.68</v>
      </c>
      <c r="O267" s="3">
        <v>0.19600000000000001</v>
      </c>
      <c r="P267" s="3">
        <v>17</v>
      </c>
      <c r="Q267" s="3">
        <v>12597.52224</v>
      </c>
      <c r="R267" s="3">
        <f t="shared" si="20"/>
        <v>20529.710000000003</v>
      </c>
      <c r="S267" s="3">
        <v>7932.1877600000025</v>
      </c>
      <c r="T267" s="3">
        <f t="shared" si="21"/>
        <v>0.62966253274897988</v>
      </c>
      <c r="U267" s="3" t="str">
        <f t="shared" si="22"/>
        <v>Sep-2025</v>
      </c>
      <c r="AB267" s="3">
        <f t="shared" si="23"/>
        <v>20529.710000000003</v>
      </c>
      <c r="AC267" s="3">
        <f t="shared" si="24"/>
        <v>12597.52224</v>
      </c>
    </row>
    <row r="268" spans="1:29" x14ac:dyDescent="0.35">
      <c r="A268" s="3" t="s">
        <v>280</v>
      </c>
      <c r="B268" s="4">
        <v>45573</v>
      </c>
      <c r="C268" s="4">
        <v>45573</v>
      </c>
      <c r="D268" s="5">
        <v>0</v>
      </c>
      <c r="E268" s="3" t="s">
        <v>649</v>
      </c>
      <c r="F268" s="3" t="s">
        <v>658</v>
      </c>
      <c r="G268" s="3" t="s">
        <v>683</v>
      </c>
      <c r="H268" s="3" t="s">
        <v>701</v>
      </c>
      <c r="I268" s="3" t="s">
        <v>708</v>
      </c>
      <c r="J268" s="3" t="s">
        <v>718</v>
      </c>
      <c r="K268" s="3" t="s">
        <v>732</v>
      </c>
      <c r="L268" s="3" t="s">
        <v>1000</v>
      </c>
      <c r="M268" s="3">
        <v>1108.1099999999999</v>
      </c>
      <c r="N268" s="3">
        <v>2503.79</v>
      </c>
      <c r="O268" s="3">
        <v>0.184</v>
      </c>
      <c r="P268" s="3">
        <v>19</v>
      </c>
      <c r="Q268" s="3">
        <v>38818.760160000005</v>
      </c>
      <c r="R268" s="3">
        <f t="shared" si="20"/>
        <v>21054.089999999997</v>
      </c>
      <c r="S268" s="3">
        <v>17764.670160000009</v>
      </c>
      <c r="T268" s="3">
        <f t="shared" si="21"/>
        <v>0.45763105485025896</v>
      </c>
      <c r="U268" s="3" t="str">
        <f t="shared" si="22"/>
        <v>Oct-2024</v>
      </c>
      <c r="AB268" s="3">
        <f t="shared" si="23"/>
        <v>21054.089999999997</v>
      </c>
      <c r="AC268" s="3">
        <f t="shared" si="24"/>
        <v>38818.760160000005</v>
      </c>
    </row>
    <row r="269" spans="1:29" x14ac:dyDescent="0.35">
      <c r="A269" s="3" t="s">
        <v>281</v>
      </c>
      <c r="B269" s="4">
        <v>45053</v>
      </c>
      <c r="C269" s="4">
        <v>45051</v>
      </c>
      <c r="D269" s="5">
        <v>2</v>
      </c>
      <c r="E269" s="3" t="s">
        <v>646</v>
      </c>
      <c r="F269" s="3" t="s">
        <v>651</v>
      </c>
      <c r="G269" s="3" t="s">
        <v>663</v>
      </c>
      <c r="H269" s="3" t="s">
        <v>703</v>
      </c>
      <c r="I269" s="3" t="s">
        <v>709</v>
      </c>
      <c r="J269" s="3" t="s">
        <v>720</v>
      </c>
      <c r="K269" s="3" t="s">
        <v>727</v>
      </c>
      <c r="L269" s="3" t="s">
        <v>1001</v>
      </c>
      <c r="M269" s="3">
        <v>1269.6500000000001</v>
      </c>
      <c r="N269" s="3">
        <v>2462.77</v>
      </c>
      <c r="O269" s="3">
        <v>0.107</v>
      </c>
      <c r="P269" s="3">
        <v>8</v>
      </c>
      <c r="Q269" s="3">
        <v>17594.028880000002</v>
      </c>
      <c r="R269" s="3">
        <f t="shared" si="20"/>
        <v>10157.200000000001</v>
      </c>
      <c r="S269" s="3">
        <v>7436.8288800000009</v>
      </c>
      <c r="T269" s="3">
        <f t="shared" si="21"/>
        <v>0.42269050089225502</v>
      </c>
      <c r="U269" s="3" t="str">
        <f t="shared" si="22"/>
        <v>May-2023</v>
      </c>
      <c r="AB269" s="3">
        <f t="shared" si="23"/>
        <v>10157.200000000001</v>
      </c>
      <c r="AC269" s="3">
        <f t="shared" si="24"/>
        <v>17594.028880000002</v>
      </c>
    </row>
    <row r="270" spans="1:29" x14ac:dyDescent="0.35">
      <c r="A270" s="3" t="s">
        <v>282</v>
      </c>
      <c r="B270" s="4">
        <v>45284</v>
      </c>
      <c r="C270" s="4">
        <v>45292</v>
      </c>
      <c r="D270" s="5">
        <v>8</v>
      </c>
      <c r="E270" s="3" t="s">
        <v>648</v>
      </c>
      <c r="F270" s="3" t="s">
        <v>655</v>
      </c>
      <c r="G270" s="3" t="s">
        <v>670</v>
      </c>
      <c r="H270" s="3" t="s">
        <v>702</v>
      </c>
      <c r="I270" s="3" t="s">
        <v>711</v>
      </c>
      <c r="J270" s="3" t="s">
        <v>712</v>
      </c>
      <c r="K270" s="3" t="s">
        <v>730</v>
      </c>
      <c r="L270" s="3" t="s">
        <v>1002</v>
      </c>
      <c r="M270" s="3">
        <v>526.49</v>
      </c>
      <c r="N270" s="3">
        <v>496.2</v>
      </c>
      <c r="O270" s="3">
        <v>0</v>
      </c>
      <c r="P270" s="3">
        <v>14</v>
      </c>
      <c r="Q270" s="3">
        <v>6946.8</v>
      </c>
      <c r="R270" s="3">
        <f t="shared" si="20"/>
        <v>7370.8600000000006</v>
      </c>
      <c r="S270" s="3">
        <v>424.0600000000004</v>
      </c>
      <c r="T270" s="3">
        <f t="shared" si="21"/>
        <v>6.1043933897621985E-2</v>
      </c>
      <c r="U270" s="3" t="str">
        <f t="shared" si="22"/>
        <v>Dec-2023</v>
      </c>
      <c r="AB270" s="3">
        <f t="shared" si="23"/>
        <v>7370.8600000000006</v>
      </c>
      <c r="AC270" s="3">
        <f t="shared" si="24"/>
        <v>6946.8</v>
      </c>
    </row>
    <row r="271" spans="1:29" x14ac:dyDescent="0.35">
      <c r="A271" s="3" t="s">
        <v>283</v>
      </c>
      <c r="B271" s="4">
        <v>45301</v>
      </c>
      <c r="C271" s="4">
        <v>45314</v>
      </c>
      <c r="D271" s="5">
        <v>13</v>
      </c>
      <c r="E271" s="3" t="s">
        <v>649</v>
      </c>
      <c r="F271" s="3" t="s">
        <v>657</v>
      </c>
      <c r="G271" s="3" t="s">
        <v>673</v>
      </c>
      <c r="H271" s="3" t="s">
        <v>701</v>
      </c>
      <c r="I271" s="3" t="s">
        <v>711</v>
      </c>
      <c r="J271" s="3" t="s">
        <v>720</v>
      </c>
      <c r="K271" s="3" t="s">
        <v>728</v>
      </c>
      <c r="L271" s="3" t="s">
        <v>1003</v>
      </c>
      <c r="M271" s="3">
        <v>720</v>
      </c>
      <c r="N271" s="3">
        <v>907.59</v>
      </c>
      <c r="O271" s="3">
        <v>0.154</v>
      </c>
      <c r="P271" s="3">
        <v>10</v>
      </c>
      <c r="Q271" s="3">
        <v>7678.2113999999992</v>
      </c>
      <c r="R271" s="3">
        <f t="shared" si="20"/>
        <v>7200</v>
      </c>
      <c r="S271" s="3">
        <v>478.21139999999923</v>
      </c>
      <c r="T271" s="3">
        <f t="shared" si="21"/>
        <v>6.2281614179052078E-2</v>
      </c>
      <c r="U271" s="3" t="str">
        <f t="shared" si="22"/>
        <v>Jan-2024</v>
      </c>
      <c r="AB271" s="3">
        <f t="shared" si="23"/>
        <v>7200</v>
      </c>
      <c r="AC271" s="3">
        <f t="shared" si="24"/>
        <v>7678.2113999999992</v>
      </c>
    </row>
    <row r="272" spans="1:29" x14ac:dyDescent="0.35">
      <c r="A272" s="3" t="s">
        <v>284</v>
      </c>
      <c r="B272" s="4">
        <v>45141</v>
      </c>
      <c r="C272" s="4">
        <v>45152</v>
      </c>
      <c r="D272" s="5">
        <v>11</v>
      </c>
      <c r="E272" s="3" t="s">
        <v>648</v>
      </c>
      <c r="F272" s="3" t="s">
        <v>655</v>
      </c>
      <c r="G272" s="3" t="s">
        <v>672</v>
      </c>
      <c r="H272" s="3" t="s">
        <v>701</v>
      </c>
      <c r="I272" s="3" t="s">
        <v>711</v>
      </c>
      <c r="J272" s="3" t="s">
        <v>713</v>
      </c>
      <c r="K272" s="3" t="s">
        <v>733</v>
      </c>
      <c r="L272" s="3" t="s">
        <v>1004</v>
      </c>
      <c r="M272" s="3">
        <v>232.73</v>
      </c>
      <c r="N272" s="3">
        <v>334.19</v>
      </c>
      <c r="O272" s="3">
        <v>0.13400000000000001</v>
      </c>
      <c r="P272" s="3">
        <v>25</v>
      </c>
      <c r="Q272" s="3">
        <v>7235.2134999999998</v>
      </c>
      <c r="R272" s="3">
        <f t="shared" si="20"/>
        <v>5818.25</v>
      </c>
      <c r="S272" s="3">
        <v>1416.9634999999998</v>
      </c>
      <c r="T272" s="3">
        <f t="shared" si="21"/>
        <v>0.1958426658729559</v>
      </c>
      <c r="U272" s="3" t="str">
        <f t="shared" si="22"/>
        <v>Aug-2023</v>
      </c>
      <c r="AB272" s="3">
        <f t="shared" si="23"/>
        <v>5818.25</v>
      </c>
      <c r="AC272" s="3">
        <f t="shared" si="24"/>
        <v>7235.2134999999998</v>
      </c>
    </row>
    <row r="273" spans="1:29" x14ac:dyDescent="0.35">
      <c r="A273" s="3" t="s">
        <v>285</v>
      </c>
      <c r="B273" s="4">
        <v>45707</v>
      </c>
      <c r="C273" s="4">
        <v>45725</v>
      </c>
      <c r="D273" s="5">
        <v>18</v>
      </c>
      <c r="E273" s="3" t="s">
        <v>647</v>
      </c>
      <c r="F273" s="3" t="s">
        <v>654</v>
      </c>
      <c r="G273" s="3" t="s">
        <v>680</v>
      </c>
      <c r="H273" s="3" t="s">
        <v>705</v>
      </c>
      <c r="I273" s="3" t="s">
        <v>711</v>
      </c>
      <c r="J273" s="3" t="s">
        <v>719</v>
      </c>
      <c r="K273" s="3" t="s">
        <v>732</v>
      </c>
      <c r="L273" s="3" t="s">
        <v>1005</v>
      </c>
      <c r="M273" s="3">
        <v>325.87</v>
      </c>
      <c r="N273" s="3">
        <v>538.79</v>
      </c>
      <c r="O273" s="3">
        <v>0.17399999999999999</v>
      </c>
      <c r="P273" s="3">
        <v>16</v>
      </c>
      <c r="Q273" s="3">
        <v>7120.6486400000003</v>
      </c>
      <c r="R273" s="3">
        <f t="shared" si="20"/>
        <v>5213.92</v>
      </c>
      <c r="S273" s="3">
        <v>1906.7286400000003</v>
      </c>
      <c r="T273" s="3">
        <f t="shared" si="21"/>
        <v>0.26777457172778013</v>
      </c>
      <c r="U273" s="3" t="str">
        <f t="shared" si="22"/>
        <v>Feb-2025</v>
      </c>
      <c r="AB273" s="3">
        <f t="shared" si="23"/>
        <v>5213.92</v>
      </c>
      <c r="AC273" s="3">
        <f t="shared" si="24"/>
        <v>7120.6486400000003</v>
      </c>
    </row>
    <row r="274" spans="1:29" x14ac:dyDescent="0.35">
      <c r="A274" s="3" t="s">
        <v>286</v>
      </c>
      <c r="B274" s="4">
        <v>45382</v>
      </c>
      <c r="C274" s="4">
        <v>45399</v>
      </c>
      <c r="D274" s="5">
        <v>17</v>
      </c>
      <c r="E274" s="3" t="s">
        <v>649</v>
      </c>
      <c r="F274" s="3" t="s">
        <v>656</v>
      </c>
      <c r="G274" s="3" t="s">
        <v>698</v>
      </c>
      <c r="H274" s="3" t="s">
        <v>702</v>
      </c>
      <c r="I274" s="3" t="s">
        <v>711</v>
      </c>
      <c r="J274" s="3" t="s">
        <v>722</v>
      </c>
      <c r="K274" s="3" t="s">
        <v>732</v>
      </c>
      <c r="L274" s="3" t="s">
        <v>1006</v>
      </c>
      <c r="M274" s="3">
        <v>1025.51</v>
      </c>
      <c r="N274" s="3">
        <v>1436.54</v>
      </c>
      <c r="O274" s="3">
        <v>0.13900000000000001</v>
      </c>
      <c r="P274" s="3">
        <v>28</v>
      </c>
      <c r="Q274" s="3">
        <v>34632.106319999999</v>
      </c>
      <c r="R274" s="3">
        <f t="shared" si="20"/>
        <v>28714.28</v>
      </c>
      <c r="S274" s="3">
        <v>5917.8263200000001</v>
      </c>
      <c r="T274" s="3">
        <f t="shared" si="21"/>
        <v>0.17087688127656453</v>
      </c>
      <c r="U274" s="3" t="str">
        <f t="shared" si="22"/>
        <v>Mar-2024</v>
      </c>
      <c r="AB274" s="3">
        <f t="shared" si="23"/>
        <v>28714.28</v>
      </c>
      <c r="AC274" s="3">
        <f t="shared" si="24"/>
        <v>34632.106319999999</v>
      </c>
    </row>
    <row r="275" spans="1:29" x14ac:dyDescent="0.35">
      <c r="A275" s="3" t="s">
        <v>287</v>
      </c>
      <c r="B275" s="4">
        <v>45131</v>
      </c>
      <c r="C275" s="4">
        <v>45151</v>
      </c>
      <c r="D275" s="5">
        <v>20</v>
      </c>
      <c r="E275" s="3" t="s">
        <v>648</v>
      </c>
      <c r="F275" s="3" t="s">
        <v>653</v>
      </c>
      <c r="G275" s="3" t="s">
        <v>681</v>
      </c>
      <c r="H275" s="3" t="s">
        <v>702</v>
      </c>
      <c r="I275" s="3" t="s">
        <v>711</v>
      </c>
      <c r="J275" s="3" t="s">
        <v>712</v>
      </c>
      <c r="K275" s="3" t="s">
        <v>732</v>
      </c>
      <c r="L275" s="3" t="s">
        <v>1007</v>
      </c>
      <c r="M275" s="3">
        <v>1082.3800000000001</v>
      </c>
      <c r="N275" s="3">
        <v>1766.55</v>
      </c>
      <c r="O275" s="3">
        <v>0.16400000000000001</v>
      </c>
      <c r="P275" s="3">
        <v>20</v>
      </c>
      <c r="Q275" s="3">
        <v>29536.716</v>
      </c>
      <c r="R275" s="3">
        <f t="shared" si="20"/>
        <v>21647.600000000002</v>
      </c>
      <c r="S275" s="3">
        <v>7889.1159999999982</v>
      </c>
      <c r="T275" s="3">
        <f t="shared" si="21"/>
        <v>0.26709523157550752</v>
      </c>
      <c r="U275" s="3" t="str">
        <f t="shared" si="22"/>
        <v>Jul-2023</v>
      </c>
      <c r="AB275" s="3">
        <f t="shared" si="23"/>
        <v>21647.600000000002</v>
      </c>
      <c r="AC275" s="3">
        <f t="shared" si="24"/>
        <v>29536.716</v>
      </c>
    </row>
    <row r="276" spans="1:29" x14ac:dyDescent="0.35">
      <c r="A276" s="3" t="s">
        <v>288</v>
      </c>
      <c r="B276" s="4">
        <v>45367</v>
      </c>
      <c r="C276" s="4">
        <v>45395</v>
      </c>
      <c r="D276" s="5">
        <v>28</v>
      </c>
      <c r="E276" s="3" t="s">
        <v>649</v>
      </c>
      <c r="F276" s="3" t="s">
        <v>657</v>
      </c>
      <c r="G276" s="3" t="s">
        <v>690</v>
      </c>
      <c r="H276" s="3" t="s">
        <v>705</v>
      </c>
      <c r="I276" s="3" t="s">
        <v>708</v>
      </c>
      <c r="J276" s="3" t="s">
        <v>723</v>
      </c>
      <c r="K276" s="3" t="s">
        <v>728</v>
      </c>
      <c r="L276" s="3" t="s">
        <v>1008</v>
      </c>
      <c r="M276" s="3">
        <v>287.61</v>
      </c>
      <c r="N276" s="3">
        <v>628.54</v>
      </c>
      <c r="O276" s="3">
        <v>0.13500000000000001</v>
      </c>
      <c r="P276" s="3">
        <v>21</v>
      </c>
      <c r="Q276" s="3">
        <v>11417.429099999999</v>
      </c>
      <c r="R276" s="3">
        <f t="shared" si="20"/>
        <v>6039.81</v>
      </c>
      <c r="S276" s="3">
        <v>5377.619099999999</v>
      </c>
      <c r="T276" s="3">
        <f t="shared" si="21"/>
        <v>0.47100087531964613</v>
      </c>
      <c r="U276" s="3" t="str">
        <f t="shared" si="22"/>
        <v>Mar-2024</v>
      </c>
      <c r="AB276" s="3">
        <f t="shared" si="23"/>
        <v>6039.81</v>
      </c>
      <c r="AC276" s="3">
        <f t="shared" si="24"/>
        <v>11417.429099999999</v>
      </c>
    </row>
    <row r="277" spans="1:29" x14ac:dyDescent="0.35">
      <c r="A277" s="3" t="s">
        <v>289</v>
      </c>
      <c r="B277" s="4">
        <v>45316</v>
      </c>
      <c r="C277" s="4">
        <v>45318</v>
      </c>
      <c r="D277" s="5">
        <v>2</v>
      </c>
      <c r="E277" s="3" t="s">
        <v>648</v>
      </c>
      <c r="F277" s="3" t="s">
        <v>655</v>
      </c>
      <c r="G277" s="3" t="s">
        <v>670</v>
      </c>
      <c r="H277" s="3" t="s">
        <v>703</v>
      </c>
      <c r="I277" s="3" t="s">
        <v>709</v>
      </c>
      <c r="J277" s="3" t="s">
        <v>725</v>
      </c>
      <c r="K277" s="3" t="s">
        <v>731</v>
      </c>
      <c r="L277" s="3" t="s">
        <v>1009</v>
      </c>
      <c r="M277" s="3">
        <v>1410.97</v>
      </c>
      <c r="N277" s="3">
        <v>1650.75</v>
      </c>
      <c r="O277" s="3">
        <v>0.13500000000000001</v>
      </c>
      <c r="P277" s="3">
        <v>6</v>
      </c>
      <c r="Q277" s="3">
        <v>8567.3924999999999</v>
      </c>
      <c r="R277" s="3">
        <f t="shared" si="20"/>
        <v>8465.82</v>
      </c>
      <c r="S277" s="3">
        <v>101.57250000000022</v>
      </c>
      <c r="T277" s="3">
        <f t="shared" si="21"/>
        <v>1.1855707556295596E-2</v>
      </c>
      <c r="U277" s="3" t="str">
        <f t="shared" si="22"/>
        <v>Jan-2024</v>
      </c>
      <c r="AB277" s="3">
        <f t="shared" si="23"/>
        <v>8465.82</v>
      </c>
      <c r="AC277" s="3">
        <f t="shared" si="24"/>
        <v>8567.3924999999999</v>
      </c>
    </row>
    <row r="278" spans="1:29" x14ac:dyDescent="0.35">
      <c r="A278" s="3" t="s">
        <v>290</v>
      </c>
      <c r="B278" s="4">
        <v>45378</v>
      </c>
      <c r="C278" s="4">
        <v>45393</v>
      </c>
      <c r="D278" s="5">
        <v>15</v>
      </c>
      <c r="E278" s="3" t="s">
        <v>648</v>
      </c>
      <c r="F278" s="3" t="s">
        <v>660</v>
      </c>
      <c r="G278" s="3" t="s">
        <v>686</v>
      </c>
      <c r="H278" s="3" t="s">
        <v>705</v>
      </c>
      <c r="I278" s="3" t="s">
        <v>711</v>
      </c>
      <c r="J278" s="3" t="s">
        <v>719</v>
      </c>
      <c r="K278" s="3" t="s">
        <v>729</v>
      </c>
      <c r="L278" s="3" t="s">
        <v>1010</v>
      </c>
      <c r="M278" s="3">
        <v>1338.35</v>
      </c>
      <c r="N278" s="3">
        <v>2247.14</v>
      </c>
      <c r="O278" s="3">
        <v>0.115</v>
      </c>
      <c r="P278" s="3">
        <v>40</v>
      </c>
      <c r="Q278" s="3">
        <v>79548.755999999994</v>
      </c>
      <c r="R278" s="3">
        <f t="shared" si="20"/>
        <v>53534</v>
      </c>
      <c r="S278" s="3">
        <v>26014.755999999994</v>
      </c>
      <c r="T278" s="3">
        <f t="shared" si="21"/>
        <v>0.32702907384246205</v>
      </c>
      <c r="U278" s="3" t="str">
        <f t="shared" si="22"/>
        <v>Mar-2024</v>
      </c>
      <c r="AB278" s="3">
        <f t="shared" si="23"/>
        <v>53534</v>
      </c>
      <c r="AC278" s="3">
        <f t="shared" si="24"/>
        <v>79548.755999999994</v>
      </c>
    </row>
    <row r="279" spans="1:29" x14ac:dyDescent="0.35">
      <c r="A279" s="3" t="s">
        <v>291</v>
      </c>
      <c r="B279" s="4">
        <v>45832</v>
      </c>
      <c r="C279" s="4">
        <v>45852</v>
      </c>
      <c r="D279" s="5">
        <v>20</v>
      </c>
      <c r="E279" s="3" t="s">
        <v>649</v>
      </c>
      <c r="F279" s="3" t="s">
        <v>656</v>
      </c>
      <c r="G279" s="3" t="s">
        <v>671</v>
      </c>
      <c r="H279" s="3" t="s">
        <v>701</v>
      </c>
      <c r="I279" s="3" t="s">
        <v>711</v>
      </c>
      <c r="J279" s="3" t="s">
        <v>719</v>
      </c>
      <c r="K279" s="3" t="s">
        <v>733</v>
      </c>
      <c r="L279" s="3" t="s">
        <v>1011</v>
      </c>
      <c r="M279" s="3">
        <v>385.08</v>
      </c>
      <c r="N279" s="3">
        <v>893.19</v>
      </c>
      <c r="O279" s="3">
        <v>0.151</v>
      </c>
      <c r="P279" s="3">
        <v>8</v>
      </c>
      <c r="Q279" s="3">
        <v>6066.54648</v>
      </c>
      <c r="R279" s="3">
        <f t="shared" si="20"/>
        <v>3080.64</v>
      </c>
      <c r="S279" s="3">
        <v>2985.9064800000001</v>
      </c>
      <c r="T279" s="3">
        <f t="shared" si="21"/>
        <v>0.49219213762621666</v>
      </c>
      <c r="U279" s="3" t="str">
        <f t="shared" si="22"/>
        <v>Jun-2025</v>
      </c>
      <c r="AB279" s="3">
        <f t="shared" si="23"/>
        <v>3080.64</v>
      </c>
      <c r="AC279" s="3">
        <f t="shared" si="24"/>
        <v>6066.54648</v>
      </c>
    </row>
    <row r="280" spans="1:29" x14ac:dyDescent="0.35">
      <c r="A280" s="3" t="s">
        <v>292</v>
      </c>
      <c r="B280" s="4">
        <v>45459</v>
      </c>
      <c r="C280" s="4">
        <v>45476</v>
      </c>
      <c r="D280" s="5">
        <v>17</v>
      </c>
      <c r="E280" s="3" t="s">
        <v>646</v>
      </c>
      <c r="F280" s="3" t="s">
        <v>661</v>
      </c>
      <c r="G280" s="3" t="s">
        <v>682</v>
      </c>
      <c r="H280" s="3" t="s">
        <v>706</v>
      </c>
      <c r="I280" s="3" t="s">
        <v>709</v>
      </c>
      <c r="J280" s="3" t="s">
        <v>721</v>
      </c>
      <c r="K280" s="3" t="s">
        <v>730</v>
      </c>
      <c r="L280" s="3" t="s">
        <v>1012</v>
      </c>
      <c r="M280" s="3">
        <v>1173.83</v>
      </c>
      <c r="N280" s="3">
        <v>2328.9</v>
      </c>
      <c r="O280" s="3">
        <v>0.12</v>
      </c>
      <c r="P280" s="3">
        <v>17</v>
      </c>
      <c r="Q280" s="3">
        <v>34840.344000000005</v>
      </c>
      <c r="R280" s="3">
        <f t="shared" si="20"/>
        <v>19955.11</v>
      </c>
      <c r="S280" s="3">
        <v>14885.234000000004</v>
      </c>
      <c r="T280" s="3">
        <f t="shared" si="21"/>
        <v>0.42724130393201637</v>
      </c>
      <c r="U280" s="3" t="str">
        <f t="shared" si="22"/>
        <v>Jun-2024</v>
      </c>
      <c r="AB280" s="3">
        <f t="shared" si="23"/>
        <v>19955.11</v>
      </c>
      <c r="AC280" s="3">
        <f t="shared" si="24"/>
        <v>34840.344000000005</v>
      </c>
    </row>
    <row r="281" spans="1:29" x14ac:dyDescent="0.35">
      <c r="A281" s="3" t="s">
        <v>293</v>
      </c>
      <c r="B281" s="4">
        <v>45229</v>
      </c>
      <c r="C281" s="4">
        <v>45244</v>
      </c>
      <c r="D281" s="5">
        <v>15</v>
      </c>
      <c r="E281" s="3" t="s">
        <v>647</v>
      </c>
      <c r="F281" s="3" t="s">
        <v>654</v>
      </c>
      <c r="G281" s="3" t="s">
        <v>668</v>
      </c>
      <c r="H281" s="3" t="s">
        <v>701</v>
      </c>
      <c r="I281" s="3" t="s">
        <v>708</v>
      </c>
      <c r="J281" s="3" t="s">
        <v>721</v>
      </c>
      <c r="K281" s="3" t="s">
        <v>731</v>
      </c>
      <c r="L281" s="3" t="s">
        <v>1013</v>
      </c>
      <c r="M281" s="3">
        <v>953.46</v>
      </c>
      <c r="N281" s="3">
        <v>2066.75</v>
      </c>
      <c r="O281" s="3">
        <v>0.13800000000000001</v>
      </c>
      <c r="P281" s="3">
        <v>5</v>
      </c>
      <c r="Q281" s="3">
        <v>8907.6924999999992</v>
      </c>
      <c r="R281" s="3">
        <f t="shared" si="20"/>
        <v>4767.3</v>
      </c>
      <c r="S281" s="3">
        <v>4140.392499999999</v>
      </c>
      <c r="T281" s="3">
        <f t="shared" si="21"/>
        <v>0.46481089238318446</v>
      </c>
      <c r="U281" s="3" t="str">
        <f t="shared" si="22"/>
        <v>Oct-2023</v>
      </c>
      <c r="AB281" s="3">
        <f t="shared" si="23"/>
        <v>4767.3</v>
      </c>
      <c r="AC281" s="3">
        <f t="shared" si="24"/>
        <v>8907.6924999999992</v>
      </c>
    </row>
    <row r="282" spans="1:29" x14ac:dyDescent="0.35">
      <c r="A282" s="3" t="s">
        <v>294</v>
      </c>
      <c r="B282" s="4">
        <v>45092</v>
      </c>
      <c r="C282" s="4">
        <v>45100</v>
      </c>
      <c r="D282" s="5">
        <v>8</v>
      </c>
      <c r="E282" s="3" t="s">
        <v>648</v>
      </c>
      <c r="F282" s="3" t="s">
        <v>660</v>
      </c>
      <c r="G282" s="3" t="s">
        <v>686</v>
      </c>
      <c r="H282" s="3" t="s">
        <v>704</v>
      </c>
      <c r="I282" s="3" t="s">
        <v>710</v>
      </c>
      <c r="J282" s="3" t="s">
        <v>719</v>
      </c>
      <c r="K282" s="3" t="s">
        <v>732</v>
      </c>
      <c r="L282" s="3" t="s">
        <v>1014</v>
      </c>
      <c r="M282" s="3">
        <v>1097.0899999999999</v>
      </c>
      <c r="N282" s="3">
        <v>2182.31</v>
      </c>
      <c r="O282" s="3">
        <v>0.112</v>
      </c>
      <c r="P282" s="3">
        <v>9</v>
      </c>
      <c r="Q282" s="3">
        <v>17441.021520000002</v>
      </c>
      <c r="R282" s="3">
        <f t="shared" si="20"/>
        <v>9873.81</v>
      </c>
      <c r="S282" s="3">
        <v>7567.2115200000026</v>
      </c>
      <c r="T282" s="3">
        <f t="shared" si="21"/>
        <v>0.43387432962699546</v>
      </c>
      <c r="U282" s="3" t="str">
        <f t="shared" si="22"/>
        <v>Jun-2023</v>
      </c>
      <c r="AB282" s="3">
        <f t="shared" si="23"/>
        <v>9873.81</v>
      </c>
      <c r="AC282" s="3">
        <f t="shared" si="24"/>
        <v>17441.021520000002</v>
      </c>
    </row>
    <row r="283" spans="1:29" x14ac:dyDescent="0.35">
      <c r="A283" s="3" t="s">
        <v>295</v>
      </c>
      <c r="B283" s="4">
        <v>45730</v>
      </c>
      <c r="C283" s="4">
        <v>45745</v>
      </c>
      <c r="D283" s="5">
        <v>15</v>
      </c>
      <c r="E283" s="3" t="s">
        <v>647</v>
      </c>
      <c r="F283" s="3" t="s">
        <v>652</v>
      </c>
      <c r="G283" s="3" t="s">
        <v>689</v>
      </c>
      <c r="H283" s="3" t="s">
        <v>703</v>
      </c>
      <c r="I283" s="3" t="s">
        <v>711</v>
      </c>
      <c r="J283" s="3" t="s">
        <v>722</v>
      </c>
      <c r="K283" s="3" t="s">
        <v>729</v>
      </c>
      <c r="L283" s="3" t="s">
        <v>1015</v>
      </c>
      <c r="M283" s="3">
        <v>1106.96</v>
      </c>
      <c r="N283" s="3">
        <v>2726.62</v>
      </c>
      <c r="O283" s="3">
        <v>0.317</v>
      </c>
      <c r="P283" s="3">
        <v>7</v>
      </c>
      <c r="Q283" s="3">
        <v>13035.970220000001</v>
      </c>
      <c r="R283" s="3">
        <f t="shared" si="20"/>
        <v>7748.72</v>
      </c>
      <c r="S283" s="3">
        <v>5287.2502200000008</v>
      </c>
      <c r="T283" s="3">
        <f t="shared" si="21"/>
        <v>0.40558931408789306</v>
      </c>
      <c r="U283" s="3" t="str">
        <f t="shared" si="22"/>
        <v>Mar-2025</v>
      </c>
      <c r="AB283" s="3">
        <f t="shared" si="23"/>
        <v>7748.72</v>
      </c>
      <c r="AC283" s="3">
        <f t="shared" si="24"/>
        <v>15269.072</v>
      </c>
    </row>
    <row r="284" spans="1:29" x14ac:dyDescent="0.35">
      <c r="A284" s="3" t="s">
        <v>296</v>
      </c>
      <c r="B284" s="4">
        <v>45153</v>
      </c>
      <c r="C284" s="4">
        <v>45163</v>
      </c>
      <c r="D284" s="5">
        <v>10</v>
      </c>
      <c r="E284" s="3" t="s">
        <v>646</v>
      </c>
      <c r="F284" s="3" t="s">
        <v>650</v>
      </c>
      <c r="G284" s="3" t="s">
        <v>664</v>
      </c>
      <c r="H284" s="3" t="s">
        <v>705</v>
      </c>
      <c r="I284" s="3" t="s">
        <v>707</v>
      </c>
      <c r="J284" s="3" t="s">
        <v>725</v>
      </c>
      <c r="K284" s="3" t="s">
        <v>730</v>
      </c>
      <c r="L284" s="3" t="s">
        <v>1016</v>
      </c>
      <c r="M284" s="3">
        <v>91.85</v>
      </c>
      <c r="N284" s="3">
        <v>111.29</v>
      </c>
      <c r="O284" s="3">
        <v>0</v>
      </c>
      <c r="P284" s="3">
        <v>6</v>
      </c>
      <c r="Q284" s="3">
        <v>667.74</v>
      </c>
      <c r="R284" s="3">
        <f t="shared" si="20"/>
        <v>551.09999999999991</v>
      </c>
      <c r="S284" s="3">
        <v>116.6400000000001</v>
      </c>
      <c r="T284" s="3">
        <f t="shared" si="21"/>
        <v>0.17467876718483258</v>
      </c>
      <c r="U284" s="3" t="str">
        <f t="shared" si="22"/>
        <v>Aug-2023</v>
      </c>
      <c r="AB284" s="3">
        <f t="shared" si="23"/>
        <v>551.09999999999991</v>
      </c>
      <c r="AC284" s="3">
        <f t="shared" si="24"/>
        <v>667.74</v>
      </c>
    </row>
    <row r="285" spans="1:29" x14ac:dyDescent="0.35">
      <c r="A285" s="3" t="s">
        <v>297</v>
      </c>
      <c r="B285" s="4">
        <v>45794</v>
      </c>
      <c r="C285" s="4">
        <v>45805</v>
      </c>
      <c r="D285" s="5">
        <v>11</v>
      </c>
      <c r="E285" s="3" t="s">
        <v>647</v>
      </c>
      <c r="F285" s="3" t="s">
        <v>654</v>
      </c>
      <c r="G285" s="3" t="s">
        <v>668</v>
      </c>
      <c r="H285" s="3" t="s">
        <v>701</v>
      </c>
      <c r="I285" s="3" t="s">
        <v>710</v>
      </c>
      <c r="J285" s="3" t="s">
        <v>717</v>
      </c>
      <c r="K285" s="3" t="s">
        <v>731</v>
      </c>
      <c r="L285" s="3" t="s">
        <v>1017</v>
      </c>
      <c r="M285" s="3">
        <v>623.4</v>
      </c>
      <c r="N285" s="3">
        <v>1100.0899999999999</v>
      </c>
      <c r="O285" s="3">
        <v>0.114</v>
      </c>
      <c r="P285" s="3">
        <v>12</v>
      </c>
      <c r="Q285" s="3">
        <v>11696.156879999999</v>
      </c>
      <c r="R285" s="3">
        <f t="shared" si="20"/>
        <v>7480.7999999999993</v>
      </c>
      <c r="S285" s="3">
        <v>4215.3568799999994</v>
      </c>
      <c r="T285" s="3">
        <f t="shared" si="21"/>
        <v>0.36040529579490388</v>
      </c>
      <c r="U285" s="3" t="str">
        <f t="shared" si="22"/>
        <v>May-2025</v>
      </c>
      <c r="AB285" s="3">
        <f t="shared" si="23"/>
        <v>7480.7999999999993</v>
      </c>
      <c r="AC285" s="3">
        <f t="shared" si="24"/>
        <v>11696.156879999999</v>
      </c>
    </row>
    <row r="286" spans="1:29" x14ac:dyDescent="0.35">
      <c r="A286" s="3" t="s">
        <v>298</v>
      </c>
      <c r="B286" s="4">
        <v>45304</v>
      </c>
      <c r="C286" s="4">
        <v>45327</v>
      </c>
      <c r="D286" s="5">
        <v>23</v>
      </c>
      <c r="E286" s="3" t="s">
        <v>649</v>
      </c>
      <c r="F286" s="3" t="s">
        <v>656</v>
      </c>
      <c r="G286" s="3" t="s">
        <v>698</v>
      </c>
      <c r="H286" s="3" t="s">
        <v>702</v>
      </c>
      <c r="I286" s="3" t="s">
        <v>711</v>
      </c>
      <c r="J286" s="3" t="s">
        <v>717</v>
      </c>
      <c r="K286" s="3" t="s">
        <v>731</v>
      </c>
      <c r="L286" s="3" t="s">
        <v>1018</v>
      </c>
      <c r="M286" s="3">
        <v>1017.93</v>
      </c>
      <c r="N286" s="3">
        <v>1529.14</v>
      </c>
      <c r="O286" s="3">
        <v>0.155</v>
      </c>
      <c r="P286" s="3">
        <v>12</v>
      </c>
      <c r="Q286" s="3">
        <v>15505.479600000001</v>
      </c>
      <c r="R286" s="3">
        <f t="shared" si="20"/>
        <v>12215.16</v>
      </c>
      <c r="S286" s="3">
        <v>3290.3196000000007</v>
      </c>
      <c r="T286" s="3">
        <f t="shared" si="21"/>
        <v>0.21220366508366503</v>
      </c>
      <c r="U286" s="3" t="str">
        <f t="shared" si="22"/>
        <v>Jan-2024</v>
      </c>
      <c r="AB286" s="3">
        <f t="shared" si="23"/>
        <v>12215.16</v>
      </c>
      <c r="AC286" s="3">
        <f t="shared" si="24"/>
        <v>15505.479600000001</v>
      </c>
    </row>
    <row r="287" spans="1:29" x14ac:dyDescent="0.35">
      <c r="A287" s="3" t="s">
        <v>299</v>
      </c>
      <c r="B287" s="4">
        <v>45101</v>
      </c>
      <c r="C287" s="4">
        <v>45128</v>
      </c>
      <c r="D287" s="5">
        <v>27</v>
      </c>
      <c r="E287" s="3" t="s">
        <v>647</v>
      </c>
      <c r="F287" s="3" t="s">
        <v>652</v>
      </c>
      <c r="G287" s="3" t="s">
        <v>694</v>
      </c>
      <c r="H287" s="3" t="s">
        <v>704</v>
      </c>
      <c r="I287" s="3" t="s">
        <v>709</v>
      </c>
      <c r="J287" s="3" t="s">
        <v>713</v>
      </c>
      <c r="K287" s="3" t="s">
        <v>730</v>
      </c>
      <c r="L287" s="3" t="s">
        <v>1019</v>
      </c>
      <c r="M287" s="3">
        <v>554.76</v>
      </c>
      <c r="N287" s="3">
        <v>728.69</v>
      </c>
      <c r="O287" s="3">
        <v>0.22</v>
      </c>
      <c r="P287" s="3">
        <v>7</v>
      </c>
      <c r="Q287" s="3">
        <v>3978.6474000000003</v>
      </c>
      <c r="R287" s="3">
        <f t="shared" si="20"/>
        <v>3883.3199999999997</v>
      </c>
      <c r="S287" s="3">
        <v>95.32740000000058</v>
      </c>
      <c r="T287" s="3">
        <f t="shared" si="21"/>
        <v>2.395975074343119E-2</v>
      </c>
      <c r="U287" s="3" t="str">
        <f t="shared" si="22"/>
        <v>Jun-2023</v>
      </c>
      <c r="AB287" s="3">
        <f t="shared" si="23"/>
        <v>3883.3199999999997</v>
      </c>
      <c r="AC287" s="3">
        <f t="shared" si="24"/>
        <v>4080.6640000000002</v>
      </c>
    </row>
    <row r="288" spans="1:29" x14ac:dyDescent="0.35">
      <c r="A288" s="3" t="s">
        <v>300</v>
      </c>
      <c r="B288" s="4">
        <v>45751</v>
      </c>
      <c r="C288" s="4">
        <v>45760</v>
      </c>
      <c r="D288" s="5">
        <v>9</v>
      </c>
      <c r="E288" s="3" t="s">
        <v>649</v>
      </c>
      <c r="F288" s="3" t="s">
        <v>656</v>
      </c>
      <c r="G288" s="3" t="s">
        <v>684</v>
      </c>
      <c r="H288" s="3" t="s">
        <v>704</v>
      </c>
      <c r="I288" s="3" t="s">
        <v>709</v>
      </c>
      <c r="J288" s="3" t="s">
        <v>721</v>
      </c>
      <c r="K288" s="3" t="s">
        <v>730</v>
      </c>
      <c r="L288" s="3" t="s">
        <v>1020</v>
      </c>
      <c r="M288" s="3">
        <v>7.02</v>
      </c>
      <c r="N288" s="3">
        <v>6.28</v>
      </c>
      <c r="O288" s="3">
        <v>0.13400000000000001</v>
      </c>
      <c r="P288" s="3">
        <v>14</v>
      </c>
      <c r="Q288" s="3">
        <v>76.138720000000006</v>
      </c>
      <c r="R288" s="3">
        <f t="shared" si="20"/>
        <v>98.28</v>
      </c>
      <c r="S288" s="3">
        <v>22.141279999999995</v>
      </c>
      <c r="T288" s="3">
        <f t="shared" si="21"/>
        <v>0.29080184169106066</v>
      </c>
      <c r="U288" s="3" t="str">
        <f t="shared" si="22"/>
        <v>Apr-2025</v>
      </c>
      <c r="AB288" s="3">
        <f t="shared" si="23"/>
        <v>98.28</v>
      </c>
      <c r="AC288" s="3">
        <f t="shared" si="24"/>
        <v>76.138720000000006</v>
      </c>
    </row>
    <row r="289" spans="1:29" x14ac:dyDescent="0.35">
      <c r="A289" s="3" t="s">
        <v>301</v>
      </c>
      <c r="B289" s="4">
        <v>45542</v>
      </c>
      <c r="C289" s="4">
        <v>45542</v>
      </c>
      <c r="D289" s="5">
        <v>0</v>
      </c>
      <c r="E289" s="3" t="s">
        <v>647</v>
      </c>
      <c r="F289" s="3" t="s">
        <v>654</v>
      </c>
      <c r="G289" s="3" t="s">
        <v>691</v>
      </c>
      <c r="H289" s="3" t="s">
        <v>702</v>
      </c>
      <c r="I289" s="3" t="s">
        <v>710</v>
      </c>
      <c r="J289" s="3" t="s">
        <v>717</v>
      </c>
      <c r="K289" s="3" t="s">
        <v>729</v>
      </c>
      <c r="L289" s="3" t="s">
        <v>1021</v>
      </c>
      <c r="M289" s="3">
        <v>1066.6500000000001</v>
      </c>
      <c r="N289" s="3">
        <v>2569.77</v>
      </c>
      <c r="O289" s="3">
        <v>0.13400000000000001</v>
      </c>
      <c r="P289" s="3">
        <v>9</v>
      </c>
      <c r="Q289" s="3">
        <v>20028.787380000002</v>
      </c>
      <c r="R289" s="3">
        <f t="shared" si="20"/>
        <v>9599.85</v>
      </c>
      <c r="S289" s="3">
        <v>10428.937380000001</v>
      </c>
      <c r="T289" s="3">
        <f t="shared" si="21"/>
        <v>0.52069739331368348</v>
      </c>
      <c r="U289" s="3" t="str">
        <f t="shared" si="22"/>
        <v>Sep-2024</v>
      </c>
      <c r="AB289" s="3">
        <f t="shared" si="23"/>
        <v>9599.85</v>
      </c>
      <c r="AC289" s="3">
        <f t="shared" si="24"/>
        <v>20028.787380000002</v>
      </c>
    </row>
    <row r="290" spans="1:29" x14ac:dyDescent="0.35">
      <c r="A290" s="3" t="s">
        <v>302</v>
      </c>
      <c r="B290" s="4">
        <v>45319</v>
      </c>
      <c r="C290" s="4">
        <v>45321</v>
      </c>
      <c r="D290" s="5">
        <v>2</v>
      </c>
      <c r="E290" s="3" t="s">
        <v>646</v>
      </c>
      <c r="F290" s="3" t="s">
        <v>661</v>
      </c>
      <c r="G290" s="3" t="s">
        <v>695</v>
      </c>
      <c r="H290" s="3" t="s">
        <v>704</v>
      </c>
      <c r="I290" s="3" t="s">
        <v>711</v>
      </c>
      <c r="J290" s="3" t="s">
        <v>721</v>
      </c>
      <c r="K290" s="3" t="s">
        <v>733</v>
      </c>
      <c r="L290" s="3" t="s">
        <v>1022</v>
      </c>
      <c r="M290" s="3">
        <v>798.45</v>
      </c>
      <c r="N290" s="3">
        <v>1592.02</v>
      </c>
      <c r="O290" s="3">
        <v>6.6000000000000003E-2</v>
      </c>
      <c r="P290" s="3">
        <v>18</v>
      </c>
      <c r="Q290" s="3">
        <v>26765.040239999998</v>
      </c>
      <c r="R290" s="3">
        <f t="shared" si="20"/>
        <v>14372.1</v>
      </c>
      <c r="S290" s="3">
        <v>12392.940239999998</v>
      </c>
      <c r="T290" s="3">
        <f t="shared" si="21"/>
        <v>0.46302714768494585</v>
      </c>
      <c r="U290" s="3" t="str">
        <f t="shared" si="22"/>
        <v>Jan-2024</v>
      </c>
      <c r="AB290" s="3">
        <f t="shared" si="23"/>
        <v>14372.1</v>
      </c>
      <c r="AC290" s="3">
        <f t="shared" si="24"/>
        <v>26765.040239999998</v>
      </c>
    </row>
    <row r="291" spans="1:29" x14ac:dyDescent="0.35">
      <c r="A291" s="3" t="s">
        <v>303</v>
      </c>
      <c r="B291" s="4">
        <v>45125</v>
      </c>
      <c r="C291" s="4">
        <v>45148</v>
      </c>
      <c r="D291" s="5">
        <v>23</v>
      </c>
      <c r="E291" s="3" t="s">
        <v>646</v>
      </c>
      <c r="F291" s="3" t="s">
        <v>661</v>
      </c>
      <c r="G291" s="3" t="s">
        <v>682</v>
      </c>
      <c r="H291" s="3" t="s">
        <v>705</v>
      </c>
      <c r="I291" s="3" t="s">
        <v>707</v>
      </c>
      <c r="J291" s="3" t="s">
        <v>716</v>
      </c>
      <c r="K291" s="3" t="s">
        <v>727</v>
      </c>
      <c r="L291" s="3" t="s">
        <v>1023</v>
      </c>
      <c r="M291" s="3">
        <v>1271.56</v>
      </c>
      <c r="N291" s="3">
        <v>995.47</v>
      </c>
      <c r="O291" s="3">
        <v>0.192</v>
      </c>
      <c r="P291" s="3">
        <v>13</v>
      </c>
      <c r="Q291" s="3">
        <v>10456.416880000001</v>
      </c>
      <c r="R291" s="3">
        <f t="shared" si="20"/>
        <v>16530.28</v>
      </c>
      <c r="S291" s="3">
        <v>6073.8631199999982</v>
      </c>
      <c r="T291" s="3">
        <f t="shared" si="21"/>
        <v>0.58087423155607754</v>
      </c>
      <c r="U291" s="3" t="str">
        <f t="shared" si="22"/>
        <v>Jul-2023</v>
      </c>
      <c r="AB291" s="3">
        <f t="shared" si="23"/>
        <v>16530.28</v>
      </c>
      <c r="AC291" s="3">
        <f t="shared" si="24"/>
        <v>10456.416880000001</v>
      </c>
    </row>
    <row r="292" spans="1:29" x14ac:dyDescent="0.35">
      <c r="A292" s="3" t="s">
        <v>304</v>
      </c>
      <c r="B292" s="4">
        <v>45897</v>
      </c>
      <c r="C292" s="4">
        <v>45895</v>
      </c>
      <c r="D292" s="5">
        <v>2</v>
      </c>
      <c r="E292" s="3" t="s">
        <v>646</v>
      </c>
      <c r="F292" s="3" t="s">
        <v>651</v>
      </c>
      <c r="G292" s="3" t="s">
        <v>663</v>
      </c>
      <c r="H292" s="3" t="s">
        <v>705</v>
      </c>
      <c r="I292" s="3" t="s">
        <v>707</v>
      </c>
      <c r="J292" s="3" t="s">
        <v>720</v>
      </c>
      <c r="K292" s="3" t="s">
        <v>733</v>
      </c>
      <c r="L292" s="3" t="s">
        <v>1024</v>
      </c>
      <c r="M292" s="3">
        <v>521.05999999999995</v>
      </c>
      <c r="N292" s="3">
        <v>1240.31</v>
      </c>
      <c r="O292" s="3">
        <v>0.14599999999999999</v>
      </c>
      <c r="P292" s="3">
        <v>18</v>
      </c>
      <c r="Q292" s="3">
        <v>19066.045319999997</v>
      </c>
      <c r="R292" s="3">
        <f t="shared" si="20"/>
        <v>9379.0799999999981</v>
      </c>
      <c r="S292" s="3">
        <v>9686.9653199999993</v>
      </c>
      <c r="T292" s="3">
        <f t="shared" si="21"/>
        <v>0.50807417885650974</v>
      </c>
      <c r="U292" s="3" t="str">
        <f t="shared" si="22"/>
        <v>Aug-2025</v>
      </c>
      <c r="AB292" s="3">
        <f t="shared" si="23"/>
        <v>9379.0799999999981</v>
      </c>
      <c r="AC292" s="3">
        <f t="shared" si="24"/>
        <v>19066.045319999997</v>
      </c>
    </row>
    <row r="293" spans="1:29" x14ac:dyDescent="0.35">
      <c r="A293" s="3" t="s">
        <v>305</v>
      </c>
      <c r="B293" s="4">
        <v>45746</v>
      </c>
      <c r="C293" s="4">
        <v>45754</v>
      </c>
      <c r="D293" s="5">
        <v>8</v>
      </c>
      <c r="E293" s="3" t="s">
        <v>648</v>
      </c>
      <c r="F293" s="3" t="s">
        <v>655</v>
      </c>
      <c r="G293" s="3" t="s">
        <v>670</v>
      </c>
      <c r="H293" s="3" t="s">
        <v>703</v>
      </c>
      <c r="I293" s="3" t="s">
        <v>711</v>
      </c>
      <c r="J293" s="3" t="s">
        <v>716</v>
      </c>
      <c r="K293" s="3" t="s">
        <v>728</v>
      </c>
      <c r="L293" s="3" t="s">
        <v>1025</v>
      </c>
      <c r="M293" s="3">
        <v>71.62</v>
      </c>
      <c r="N293" s="3">
        <v>118.37</v>
      </c>
      <c r="O293" s="3">
        <v>0.156</v>
      </c>
      <c r="P293" s="3">
        <v>11</v>
      </c>
      <c r="Q293" s="3">
        <v>1098.9470800000001</v>
      </c>
      <c r="R293" s="3">
        <f t="shared" si="20"/>
        <v>787.82</v>
      </c>
      <c r="S293" s="3">
        <v>311.12708000000009</v>
      </c>
      <c r="T293" s="3">
        <f t="shared" si="21"/>
        <v>0.28311379652603474</v>
      </c>
      <c r="U293" s="3" t="str">
        <f t="shared" si="22"/>
        <v>Mar-2025</v>
      </c>
      <c r="AB293" s="3">
        <f t="shared" si="23"/>
        <v>787.82</v>
      </c>
      <c r="AC293" s="3">
        <f t="shared" si="24"/>
        <v>1098.9470800000001</v>
      </c>
    </row>
    <row r="294" spans="1:29" x14ac:dyDescent="0.35">
      <c r="A294" s="3" t="s">
        <v>306</v>
      </c>
      <c r="B294" s="4">
        <v>45220</v>
      </c>
      <c r="C294" s="4">
        <v>45239</v>
      </c>
      <c r="D294" s="5">
        <v>19</v>
      </c>
      <c r="E294" s="3" t="s">
        <v>649</v>
      </c>
      <c r="F294" s="3" t="s">
        <v>658</v>
      </c>
      <c r="G294" s="3" t="s">
        <v>683</v>
      </c>
      <c r="H294" s="3" t="s">
        <v>703</v>
      </c>
      <c r="I294" s="3" t="s">
        <v>711</v>
      </c>
      <c r="J294" s="3" t="s">
        <v>720</v>
      </c>
      <c r="K294" s="3" t="s">
        <v>733</v>
      </c>
      <c r="L294" s="3" t="s">
        <v>1026</v>
      </c>
      <c r="M294" s="3">
        <v>1142.48</v>
      </c>
      <c r="N294" s="3">
        <v>2105.5300000000002</v>
      </c>
      <c r="O294" s="3">
        <v>0.20699999999999999</v>
      </c>
      <c r="P294" s="3">
        <v>14</v>
      </c>
      <c r="Q294" s="3">
        <v>23375.594060000003</v>
      </c>
      <c r="R294" s="3">
        <f t="shared" si="20"/>
        <v>15994.720000000001</v>
      </c>
      <c r="S294" s="3">
        <v>7380.8740600000019</v>
      </c>
      <c r="T294" s="3">
        <f t="shared" si="21"/>
        <v>0.31575129346680658</v>
      </c>
      <c r="U294" s="3" t="str">
        <f t="shared" si="22"/>
        <v>Oct-2023</v>
      </c>
      <c r="AB294" s="3">
        <f t="shared" si="23"/>
        <v>15994.720000000001</v>
      </c>
      <c r="AC294" s="3">
        <f t="shared" si="24"/>
        <v>23581.936000000002</v>
      </c>
    </row>
    <row r="295" spans="1:29" x14ac:dyDescent="0.35">
      <c r="A295" s="3" t="s">
        <v>307</v>
      </c>
      <c r="B295" s="4">
        <v>45161</v>
      </c>
      <c r="C295" s="4">
        <v>45191</v>
      </c>
      <c r="D295" s="5">
        <v>30</v>
      </c>
      <c r="E295" s="3" t="s">
        <v>649</v>
      </c>
      <c r="F295" s="3" t="s">
        <v>658</v>
      </c>
      <c r="G295" s="3" t="s">
        <v>683</v>
      </c>
      <c r="H295" s="3" t="s">
        <v>704</v>
      </c>
      <c r="I295" s="3" t="s">
        <v>710</v>
      </c>
      <c r="J295" s="3" t="s">
        <v>719</v>
      </c>
      <c r="K295" s="3" t="s">
        <v>733</v>
      </c>
      <c r="L295" s="3" t="s">
        <v>1027</v>
      </c>
      <c r="M295" s="3">
        <v>209.81</v>
      </c>
      <c r="N295" s="3">
        <v>523</v>
      </c>
      <c r="O295" s="3">
        <v>5.8999999999999997E-2</v>
      </c>
      <c r="P295" s="3">
        <v>15</v>
      </c>
      <c r="Q295" s="3">
        <v>7382.1450000000004</v>
      </c>
      <c r="R295" s="3">
        <f t="shared" si="20"/>
        <v>3147.15</v>
      </c>
      <c r="S295" s="3">
        <v>4234.9950000000008</v>
      </c>
      <c r="T295" s="3">
        <f t="shared" si="21"/>
        <v>0.57368082041195356</v>
      </c>
      <c r="U295" s="3" t="str">
        <f t="shared" si="22"/>
        <v>Aug-2023</v>
      </c>
      <c r="AB295" s="3">
        <f t="shared" si="23"/>
        <v>3147.15</v>
      </c>
      <c r="AC295" s="3">
        <f t="shared" si="24"/>
        <v>7382.1450000000004</v>
      </c>
    </row>
    <row r="296" spans="1:29" x14ac:dyDescent="0.35">
      <c r="A296" s="3" t="s">
        <v>308</v>
      </c>
      <c r="B296" s="4">
        <v>45758</v>
      </c>
      <c r="C296" s="4">
        <v>45781</v>
      </c>
      <c r="D296" s="5">
        <v>23</v>
      </c>
      <c r="E296" s="3" t="s">
        <v>647</v>
      </c>
      <c r="F296" s="3" t="s">
        <v>652</v>
      </c>
      <c r="G296" s="3" t="s">
        <v>666</v>
      </c>
      <c r="H296" s="3" t="s">
        <v>705</v>
      </c>
      <c r="I296" s="3" t="s">
        <v>708</v>
      </c>
      <c r="J296" s="3" t="s">
        <v>724</v>
      </c>
      <c r="K296" s="3" t="s">
        <v>727</v>
      </c>
      <c r="L296" s="3" t="s">
        <v>1028</v>
      </c>
      <c r="M296" s="3">
        <v>786.2</v>
      </c>
      <c r="N296" s="3">
        <v>1075.3</v>
      </c>
      <c r="O296" s="3">
        <v>0.08</v>
      </c>
      <c r="P296" s="3">
        <v>9</v>
      </c>
      <c r="Q296" s="3">
        <v>8903.4839999999986</v>
      </c>
      <c r="R296" s="3">
        <f t="shared" si="20"/>
        <v>7075.8</v>
      </c>
      <c r="S296" s="3">
        <v>1827.6839999999984</v>
      </c>
      <c r="T296" s="3">
        <f t="shared" si="21"/>
        <v>0.20527739478163815</v>
      </c>
      <c r="U296" s="3" t="str">
        <f t="shared" si="22"/>
        <v>Apr-2025</v>
      </c>
      <c r="AB296" s="3">
        <f t="shared" si="23"/>
        <v>7075.8</v>
      </c>
      <c r="AC296" s="3">
        <f t="shared" si="24"/>
        <v>8903.4839999999986</v>
      </c>
    </row>
    <row r="297" spans="1:29" x14ac:dyDescent="0.35">
      <c r="A297" s="3" t="s">
        <v>309</v>
      </c>
      <c r="B297" s="4">
        <v>45809</v>
      </c>
      <c r="C297" s="4">
        <v>45835</v>
      </c>
      <c r="D297" s="5">
        <v>26</v>
      </c>
      <c r="E297" s="3" t="s">
        <v>649</v>
      </c>
      <c r="F297" s="3" t="s">
        <v>656</v>
      </c>
      <c r="G297" s="3" t="s">
        <v>684</v>
      </c>
      <c r="H297" s="3" t="s">
        <v>704</v>
      </c>
      <c r="I297" s="3" t="s">
        <v>710</v>
      </c>
      <c r="J297" s="3" t="s">
        <v>718</v>
      </c>
      <c r="K297" s="3" t="s">
        <v>731</v>
      </c>
      <c r="L297" s="3" t="s">
        <v>1029</v>
      </c>
      <c r="M297" s="3">
        <v>1362.31</v>
      </c>
      <c r="N297" s="3">
        <v>3294.57</v>
      </c>
      <c r="O297" s="3">
        <v>0.113</v>
      </c>
      <c r="P297" s="3">
        <v>7</v>
      </c>
      <c r="Q297" s="3">
        <v>20455.985130000001</v>
      </c>
      <c r="R297" s="3">
        <f t="shared" si="20"/>
        <v>9536.17</v>
      </c>
      <c r="S297" s="3">
        <v>10919.815130000001</v>
      </c>
      <c r="T297" s="3">
        <f t="shared" si="21"/>
        <v>0.5338200561157721</v>
      </c>
      <c r="U297" s="3" t="str">
        <f t="shared" si="22"/>
        <v>Jun-2025</v>
      </c>
      <c r="AB297" s="3">
        <f t="shared" si="23"/>
        <v>9536.17</v>
      </c>
      <c r="AC297" s="3">
        <f t="shared" si="24"/>
        <v>20455.985130000001</v>
      </c>
    </row>
    <row r="298" spans="1:29" x14ac:dyDescent="0.35">
      <c r="A298" s="3" t="s">
        <v>310</v>
      </c>
      <c r="B298" s="4">
        <v>45353</v>
      </c>
      <c r="C298" s="4">
        <v>45367</v>
      </c>
      <c r="D298" s="5">
        <v>14</v>
      </c>
      <c r="E298" s="3" t="s">
        <v>648</v>
      </c>
      <c r="F298" s="3" t="s">
        <v>653</v>
      </c>
      <c r="G298" s="3" t="s">
        <v>688</v>
      </c>
      <c r="H298" s="3" t="s">
        <v>703</v>
      </c>
      <c r="I298" s="3" t="s">
        <v>711</v>
      </c>
      <c r="J298" s="3" t="s">
        <v>719</v>
      </c>
      <c r="K298" s="3" t="s">
        <v>728</v>
      </c>
      <c r="L298" s="3" t="s">
        <v>1030</v>
      </c>
      <c r="M298" s="3">
        <v>248.24</v>
      </c>
      <c r="N298" s="3">
        <v>464.05</v>
      </c>
      <c r="O298" s="3">
        <v>0.16900000000000001</v>
      </c>
      <c r="P298" s="3">
        <v>11</v>
      </c>
      <c r="Q298" s="3">
        <v>4241.88105</v>
      </c>
      <c r="R298" s="3">
        <f t="shared" si="20"/>
        <v>2730.6400000000003</v>
      </c>
      <c r="S298" s="3">
        <v>1511.2410499999996</v>
      </c>
      <c r="T298" s="3">
        <f t="shared" si="21"/>
        <v>0.3562667203975462</v>
      </c>
      <c r="U298" s="3" t="str">
        <f t="shared" si="22"/>
        <v>Mar-2024</v>
      </c>
      <c r="AB298" s="3">
        <f t="shared" si="23"/>
        <v>2730.6400000000003</v>
      </c>
      <c r="AC298" s="3">
        <f t="shared" si="24"/>
        <v>4241.88105</v>
      </c>
    </row>
    <row r="299" spans="1:29" x14ac:dyDescent="0.35">
      <c r="A299" s="3" t="s">
        <v>311</v>
      </c>
      <c r="B299" s="4">
        <v>45097</v>
      </c>
      <c r="C299" s="4">
        <v>45115</v>
      </c>
      <c r="D299" s="5">
        <v>18</v>
      </c>
      <c r="E299" s="3" t="s">
        <v>648</v>
      </c>
      <c r="F299" s="3" t="s">
        <v>660</v>
      </c>
      <c r="G299" s="3" t="s">
        <v>697</v>
      </c>
      <c r="H299" s="3" t="s">
        <v>703</v>
      </c>
      <c r="I299" s="3" t="s">
        <v>711</v>
      </c>
      <c r="J299" s="3" t="s">
        <v>721</v>
      </c>
      <c r="K299" s="3" t="s">
        <v>732</v>
      </c>
      <c r="L299" s="3" t="s">
        <v>1031</v>
      </c>
      <c r="M299" s="3">
        <v>337</v>
      </c>
      <c r="N299" s="3">
        <v>511.03</v>
      </c>
      <c r="O299" s="3">
        <v>0.108</v>
      </c>
      <c r="P299" s="3">
        <v>7</v>
      </c>
      <c r="Q299" s="3">
        <v>3190.8713200000002</v>
      </c>
      <c r="R299" s="3">
        <f t="shared" si="20"/>
        <v>2359</v>
      </c>
      <c r="S299" s="3">
        <v>831.8713200000002</v>
      </c>
      <c r="T299" s="3">
        <f t="shared" si="21"/>
        <v>0.26070349963219458</v>
      </c>
      <c r="U299" s="3" t="str">
        <f t="shared" si="22"/>
        <v>Jun-2023</v>
      </c>
      <c r="AB299" s="3">
        <f t="shared" si="23"/>
        <v>2359</v>
      </c>
      <c r="AC299" s="3">
        <f t="shared" si="24"/>
        <v>3190.8713200000002</v>
      </c>
    </row>
    <row r="300" spans="1:29" x14ac:dyDescent="0.35">
      <c r="A300" s="3" t="s">
        <v>312</v>
      </c>
      <c r="B300" s="4">
        <v>45377</v>
      </c>
      <c r="C300" s="4">
        <v>45387</v>
      </c>
      <c r="D300" s="5">
        <v>10</v>
      </c>
      <c r="E300" s="3" t="s">
        <v>648</v>
      </c>
      <c r="F300" s="3" t="s">
        <v>660</v>
      </c>
      <c r="G300" s="3" t="s">
        <v>697</v>
      </c>
      <c r="H300" s="3" t="s">
        <v>704</v>
      </c>
      <c r="I300" s="3" t="s">
        <v>711</v>
      </c>
      <c r="J300" s="3" t="s">
        <v>713</v>
      </c>
      <c r="K300" s="3" t="s">
        <v>732</v>
      </c>
      <c r="L300" s="3" t="s">
        <v>1032</v>
      </c>
      <c r="M300" s="3">
        <v>5.66</v>
      </c>
      <c r="N300" s="3">
        <v>4.22</v>
      </c>
      <c r="O300" s="3">
        <v>0.11899999999999999</v>
      </c>
      <c r="P300" s="3">
        <v>18</v>
      </c>
      <c r="Q300" s="3">
        <v>66.920760000000001</v>
      </c>
      <c r="R300" s="3">
        <f t="shared" si="20"/>
        <v>101.88</v>
      </c>
      <c r="S300" s="3">
        <v>34.959239999999994</v>
      </c>
      <c r="T300" s="3">
        <f t="shared" si="21"/>
        <v>0.52239753403876454</v>
      </c>
      <c r="U300" s="3" t="str">
        <f t="shared" si="22"/>
        <v>Mar-2024</v>
      </c>
      <c r="AB300" s="3">
        <f t="shared" si="23"/>
        <v>101.88</v>
      </c>
      <c r="AC300" s="3">
        <f t="shared" si="24"/>
        <v>66.920760000000001</v>
      </c>
    </row>
    <row r="301" spans="1:29" x14ac:dyDescent="0.35">
      <c r="A301" s="3" t="s">
        <v>313</v>
      </c>
      <c r="B301" s="4">
        <v>45679</v>
      </c>
      <c r="C301" s="4">
        <v>45679</v>
      </c>
      <c r="D301" s="5">
        <v>0</v>
      </c>
      <c r="E301" s="3" t="s">
        <v>649</v>
      </c>
      <c r="F301" s="3" t="s">
        <v>657</v>
      </c>
      <c r="G301" s="3" t="s">
        <v>679</v>
      </c>
      <c r="H301" s="3" t="s">
        <v>705</v>
      </c>
      <c r="I301" s="3" t="s">
        <v>708</v>
      </c>
      <c r="J301" s="3" t="s">
        <v>717</v>
      </c>
      <c r="K301" s="3" t="s">
        <v>733</v>
      </c>
      <c r="L301" s="3" t="s">
        <v>1033</v>
      </c>
      <c r="M301" s="3">
        <v>591.72</v>
      </c>
      <c r="N301" s="3">
        <v>577.24</v>
      </c>
      <c r="O301" s="3">
        <v>0</v>
      </c>
      <c r="P301" s="3">
        <v>22</v>
      </c>
      <c r="Q301" s="3">
        <v>12699.28</v>
      </c>
      <c r="R301" s="3">
        <f t="shared" si="20"/>
        <v>13017.84</v>
      </c>
      <c r="S301" s="3">
        <v>318.55999999999949</v>
      </c>
      <c r="T301" s="3">
        <f t="shared" si="21"/>
        <v>2.5084886702238195E-2</v>
      </c>
      <c r="U301" s="3" t="str">
        <f t="shared" si="22"/>
        <v>Jan-2025</v>
      </c>
      <c r="AB301" s="3">
        <f t="shared" si="23"/>
        <v>13017.84</v>
      </c>
      <c r="AC301" s="3">
        <f t="shared" si="24"/>
        <v>12699.28</v>
      </c>
    </row>
    <row r="302" spans="1:29" x14ac:dyDescent="0.35">
      <c r="A302" s="3" t="s">
        <v>314</v>
      </c>
      <c r="B302" s="4">
        <v>45787</v>
      </c>
      <c r="C302" s="4">
        <v>45804</v>
      </c>
      <c r="D302" s="5">
        <v>17</v>
      </c>
      <c r="E302" s="3" t="s">
        <v>648</v>
      </c>
      <c r="F302" s="3" t="s">
        <v>653</v>
      </c>
      <c r="G302" s="3" t="s">
        <v>688</v>
      </c>
      <c r="H302" s="3" t="s">
        <v>702</v>
      </c>
      <c r="I302" s="3" t="s">
        <v>711</v>
      </c>
      <c r="J302" s="3" t="s">
        <v>712</v>
      </c>
      <c r="K302" s="3" t="s">
        <v>727</v>
      </c>
      <c r="L302" s="3" t="s">
        <v>1034</v>
      </c>
      <c r="M302" s="3">
        <v>862.89</v>
      </c>
      <c r="N302" s="3">
        <v>1426.03</v>
      </c>
      <c r="O302" s="3">
        <v>5.6000000000000001E-2</v>
      </c>
      <c r="P302" s="3">
        <v>19</v>
      </c>
      <c r="Q302" s="3">
        <v>25577.274079999999</v>
      </c>
      <c r="R302" s="3">
        <f t="shared" si="20"/>
        <v>16394.91</v>
      </c>
      <c r="S302" s="3">
        <v>9182.3640799999994</v>
      </c>
      <c r="T302" s="3">
        <f t="shared" si="21"/>
        <v>0.35900479665188778</v>
      </c>
      <c r="U302" s="3" t="str">
        <f t="shared" si="22"/>
        <v>May-2025</v>
      </c>
      <c r="AB302" s="3">
        <f t="shared" si="23"/>
        <v>16394.91</v>
      </c>
      <c r="AC302" s="3">
        <f t="shared" si="24"/>
        <v>25577.274079999999</v>
      </c>
    </row>
    <row r="303" spans="1:29" x14ac:dyDescent="0.35">
      <c r="A303" s="3" t="s">
        <v>315</v>
      </c>
      <c r="B303" s="4">
        <v>45204</v>
      </c>
      <c r="C303" s="4">
        <v>45230</v>
      </c>
      <c r="D303" s="5">
        <v>26</v>
      </c>
      <c r="E303" s="3" t="s">
        <v>647</v>
      </c>
      <c r="F303" s="3" t="s">
        <v>659</v>
      </c>
      <c r="G303" s="3" t="s">
        <v>685</v>
      </c>
      <c r="H303" s="3" t="s">
        <v>704</v>
      </c>
      <c r="I303" s="3" t="s">
        <v>1422</v>
      </c>
      <c r="J303" s="3" t="s">
        <v>713</v>
      </c>
      <c r="K303" s="3" t="s">
        <v>728</v>
      </c>
      <c r="L303" s="3" t="s">
        <v>1035</v>
      </c>
      <c r="M303" s="3">
        <v>649.91</v>
      </c>
      <c r="N303" s="3">
        <v>1360.12</v>
      </c>
      <c r="O303" s="3">
        <v>0.19400000000000001</v>
      </c>
      <c r="P303" s="3">
        <v>9</v>
      </c>
      <c r="Q303" s="3">
        <v>9866.3104799999983</v>
      </c>
      <c r="R303" s="3">
        <f t="shared" si="20"/>
        <v>5849.19</v>
      </c>
      <c r="S303" s="3">
        <v>4017.1204799999987</v>
      </c>
      <c r="T303" s="3">
        <f t="shared" si="21"/>
        <v>0.40715528749506769</v>
      </c>
      <c r="U303" s="3" t="str">
        <f t="shared" si="22"/>
        <v>Oct-2023</v>
      </c>
      <c r="AB303" s="3">
        <f t="shared" si="23"/>
        <v>5849.19</v>
      </c>
      <c r="AC303" s="3">
        <f t="shared" si="24"/>
        <v>9866.3104799999983</v>
      </c>
    </row>
    <row r="304" spans="1:29" x14ac:dyDescent="0.35">
      <c r="A304" s="3" t="s">
        <v>316</v>
      </c>
      <c r="B304" s="4">
        <v>45125</v>
      </c>
      <c r="C304" s="4">
        <v>45129</v>
      </c>
      <c r="D304" s="5">
        <v>4</v>
      </c>
      <c r="E304" s="3" t="s">
        <v>648</v>
      </c>
      <c r="F304" s="3" t="s">
        <v>655</v>
      </c>
      <c r="G304" s="3" t="s">
        <v>670</v>
      </c>
      <c r="H304" s="3" t="s">
        <v>704</v>
      </c>
      <c r="I304" s="3" t="s">
        <v>711</v>
      </c>
      <c r="J304" s="3" t="s">
        <v>721</v>
      </c>
      <c r="K304" s="3" t="s">
        <v>729</v>
      </c>
      <c r="L304" s="3" t="s">
        <v>1036</v>
      </c>
      <c r="M304" s="3">
        <v>1269.55</v>
      </c>
      <c r="N304" s="3">
        <v>2071.1</v>
      </c>
      <c r="O304" s="3">
        <v>0.129</v>
      </c>
      <c r="P304" s="3">
        <v>22</v>
      </c>
      <c r="Q304" s="3">
        <v>39686.4182</v>
      </c>
      <c r="R304" s="3">
        <f t="shared" si="20"/>
        <v>27930.1</v>
      </c>
      <c r="S304" s="3">
        <v>11756.318200000002</v>
      </c>
      <c r="T304" s="3">
        <f t="shared" si="21"/>
        <v>0.29623026549672354</v>
      </c>
      <c r="U304" s="3" t="str">
        <f t="shared" si="22"/>
        <v>Jul-2023</v>
      </c>
      <c r="AB304" s="3">
        <f t="shared" si="23"/>
        <v>27930.1</v>
      </c>
      <c r="AC304" s="3">
        <f t="shared" si="24"/>
        <v>39686.4182</v>
      </c>
    </row>
    <row r="305" spans="1:29" x14ac:dyDescent="0.35">
      <c r="A305" s="3" t="s">
        <v>317</v>
      </c>
      <c r="B305" s="4">
        <v>45830</v>
      </c>
      <c r="C305" s="4">
        <v>45846</v>
      </c>
      <c r="D305" s="5">
        <v>16</v>
      </c>
      <c r="E305" s="3" t="s">
        <v>649</v>
      </c>
      <c r="F305" s="3" t="s">
        <v>658</v>
      </c>
      <c r="G305" s="3" t="s">
        <v>683</v>
      </c>
      <c r="H305" s="3" t="s">
        <v>702</v>
      </c>
      <c r="I305" s="3" t="s">
        <v>711</v>
      </c>
      <c r="J305" s="3" t="s">
        <v>720</v>
      </c>
      <c r="K305" s="3" t="s">
        <v>730</v>
      </c>
      <c r="L305" s="3" t="s">
        <v>1037</v>
      </c>
      <c r="M305" s="3">
        <v>892.73</v>
      </c>
      <c r="N305" s="3">
        <v>979.84</v>
      </c>
      <c r="O305" s="3">
        <v>0.17399999999999999</v>
      </c>
      <c r="P305" s="3">
        <v>10</v>
      </c>
      <c r="Q305" s="3">
        <v>8093.4784</v>
      </c>
      <c r="R305" s="3">
        <f t="shared" si="20"/>
        <v>8927.2999999999993</v>
      </c>
      <c r="S305" s="3">
        <v>833.82159999999931</v>
      </c>
      <c r="T305" s="3">
        <f t="shared" si="21"/>
        <v>0.10302388649112838</v>
      </c>
      <c r="U305" s="3" t="str">
        <f t="shared" si="22"/>
        <v>Jun-2025</v>
      </c>
      <c r="AB305" s="3">
        <f t="shared" si="23"/>
        <v>8927.2999999999993</v>
      </c>
      <c r="AC305" s="3">
        <f t="shared" si="24"/>
        <v>8093.4784</v>
      </c>
    </row>
    <row r="306" spans="1:29" x14ac:dyDescent="0.35">
      <c r="A306" s="3" t="s">
        <v>318</v>
      </c>
      <c r="B306" s="4">
        <v>45462</v>
      </c>
      <c r="C306" s="4">
        <v>45463</v>
      </c>
      <c r="D306" s="5">
        <v>1</v>
      </c>
      <c r="E306" s="3" t="s">
        <v>646</v>
      </c>
      <c r="F306" s="3" t="s">
        <v>650</v>
      </c>
      <c r="G306" s="3" t="s">
        <v>662</v>
      </c>
      <c r="H306" s="3" t="s">
        <v>705</v>
      </c>
      <c r="I306" s="3" t="s">
        <v>711</v>
      </c>
      <c r="J306" s="3" t="s">
        <v>713</v>
      </c>
      <c r="K306" s="3" t="s">
        <v>731</v>
      </c>
      <c r="L306" s="3" t="s">
        <v>1038</v>
      </c>
      <c r="M306" s="3">
        <v>231.63</v>
      </c>
      <c r="N306" s="3">
        <v>537.39</v>
      </c>
      <c r="O306" s="3">
        <v>0.08</v>
      </c>
      <c r="P306" s="3">
        <v>12</v>
      </c>
      <c r="Q306" s="3">
        <v>5932.7856000000002</v>
      </c>
      <c r="R306" s="3">
        <f t="shared" si="20"/>
        <v>2779.56</v>
      </c>
      <c r="S306" s="3">
        <v>3153.2256000000002</v>
      </c>
      <c r="T306" s="3">
        <f t="shared" si="21"/>
        <v>0.53149158129024587</v>
      </c>
      <c r="U306" s="3" t="str">
        <f t="shared" si="22"/>
        <v>Jun-2024</v>
      </c>
      <c r="AB306" s="3">
        <f t="shared" si="23"/>
        <v>2779.56</v>
      </c>
      <c r="AC306" s="3">
        <f t="shared" si="24"/>
        <v>5932.7856000000002</v>
      </c>
    </row>
    <row r="307" spans="1:29" x14ac:dyDescent="0.35">
      <c r="A307" s="3" t="s">
        <v>319</v>
      </c>
      <c r="B307" s="4">
        <v>45756</v>
      </c>
      <c r="C307" s="4">
        <v>45759</v>
      </c>
      <c r="D307" s="5">
        <v>3</v>
      </c>
      <c r="E307" s="3" t="s">
        <v>649</v>
      </c>
      <c r="F307" s="3" t="s">
        <v>657</v>
      </c>
      <c r="G307" s="3" t="s">
        <v>679</v>
      </c>
      <c r="H307" s="3" t="s">
        <v>705</v>
      </c>
      <c r="I307" s="3" t="s">
        <v>710</v>
      </c>
      <c r="J307" s="3" t="s">
        <v>722</v>
      </c>
      <c r="K307" s="3" t="s">
        <v>732</v>
      </c>
      <c r="L307" s="3" t="s">
        <v>1039</v>
      </c>
      <c r="M307" s="3">
        <v>86.68</v>
      </c>
      <c r="N307" s="3">
        <v>213.32</v>
      </c>
      <c r="O307" s="3">
        <v>3.7999999999999999E-2</v>
      </c>
      <c r="P307" s="3">
        <v>8</v>
      </c>
      <c r="Q307" s="3">
        <v>1641.7107199999998</v>
      </c>
      <c r="R307" s="3">
        <f t="shared" si="20"/>
        <v>693.44</v>
      </c>
      <c r="S307" s="3">
        <v>948.27071999999976</v>
      </c>
      <c r="T307" s="3">
        <f t="shared" si="21"/>
        <v>0.57761133459614611</v>
      </c>
      <c r="U307" s="3" t="str">
        <f t="shared" si="22"/>
        <v>Apr-2025</v>
      </c>
      <c r="AB307" s="3">
        <f t="shared" si="23"/>
        <v>693.44</v>
      </c>
      <c r="AC307" s="3">
        <f t="shared" si="24"/>
        <v>1641.7107199999998</v>
      </c>
    </row>
    <row r="308" spans="1:29" x14ac:dyDescent="0.35">
      <c r="A308" s="3" t="s">
        <v>320</v>
      </c>
      <c r="B308" s="4">
        <v>45741</v>
      </c>
      <c r="C308" s="4">
        <v>45742</v>
      </c>
      <c r="D308" s="5">
        <v>1</v>
      </c>
      <c r="E308" s="3" t="s">
        <v>646</v>
      </c>
      <c r="F308" s="3" t="s">
        <v>651</v>
      </c>
      <c r="G308" s="3" t="s">
        <v>665</v>
      </c>
      <c r="H308" s="3" t="s">
        <v>702</v>
      </c>
      <c r="I308" s="3" t="s">
        <v>710</v>
      </c>
      <c r="J308" s="3" t="s">
        <v>715</v>
      </c>
      <c r="K308" s="3" t="s">
        <v>733</v>
      </c>
      <c r="L308" s="3" t="s">
        <v>1040</v>
      </c>
      <c r="M308" s="3">
        <v>1450.43</v>
      </c>
      <c r="N308" s="3">
        <v>1994.67</v>
      </c>
      <c r="O308" s="3">
        <v>0.1</v>
      </c>
      <c r="P308" s="3">
        <v>24</v>
      </c>
      <c r="Q308" s="3">
        <v>43084.872000000003</v>
      </c>
      <c r="R308" s="3">
        <f t="shared" si="20"/>
        <v>34810.32</v>
      </c>
      <c r="S308" s="3">
        <v>8274.5520000000033</v>
      </c>
      <c r="T308" s="3">
        <f t="shared" si="21"/>
        <v>0.19205237513529116</v>
      </c>
      <c r="U308" s="3" t="str">
        <f t="shared" si="22"/>
        <v>Mar-2025</v>
      </c>
      <c r="AB308" s="3">
        <f t="shared" si="23"/>
        <v>34810.32</v>
      </c>
      <c r="AC308" s="3">
        <f t="shared" si="24"/>
        <v>43084.872000000003</v>
      </c>
    </row>
    <row r="309" spans="1:29" x14ac:dyDescent="0.35">
      <c r="A309" s="3" t="s">
        <v>321</v>
      </c>
      <c r="B309" s="4">
        <v>45795</v>
      </c>
      <c r="C309" s="4">
        <v>45817</v>
      </c>
      <c r="D309" s="5">
        <v>22</v>
      </c>
      <c r="E309" s="3" t="s">
        <v>648</v>
      </c>
      <c r="F309" s="3" t="s">
        <v>660</v>
      </c>
      <c r="G309" s="3" t="s">
        <v>700</v>
      </c>
      <c r="H309" s="3" t="s">
        <v>704</v>
      </c>
      <c r="I309" s="3" t="s">
        <v>707</v>
      </c>
      <c r="J309" s="3" t="s">
        <v>722</v>
      </c>
      <c r="K309" s="3" t="s">
        <v>729</v>
      </c>
      <c r="L309" s="3" t="s">
        <v>1041</v>
      </c>
      <c r="M309" s="3">
        <v>382.96</v>
      </c>
      <c r="N309" s="3">
        <v>552.84</v>
      </c>
      <c r="O309" s="3">
        <v>0.17599999999999999</v>
      </c>
      <c r="P309" s="3">
        <v>8</v>
      </c>
      <c r="Q309" s="3">
        <v>3644.3212800000006</v>
      </c>
      <c r="R309" s="3">
        <f t="shared" si="20"/>
        <v>3063.68</v>
      </c>
      <c r="S309" s="3">
        <v>580.64128000000073</v>
      </c>
      <c r="T309" s="3">
        <f t="shared" si="21"/>
        <v>0.15932768693763483</v>
      </c>
      <c r="U309" s="3" t="str">
        <f t="shared" si="22"/>
        <v>May-2025</v>
      </c>
      <c r="AB309" s="3">
        <f t="shared" si="23"/>
        <v>3063.68</v>
      </c>
      <c r="AC309" s="3">
        <f t="shared" si="24"/>
        <v>3644.3212800000006</v>
      </c>
    </row>
    <row r="310" spans="1:29" x14ac:dyDescent="0.35">
      <c r="A310" s="3" t="s">
        <v>322</v>
      </c>
      <c r="B310" s="4">
        <v>45679</v>
      </c>
      <c r="C310" s="4">
        <v>45692</v>
      </c>
      <c r="D310" s="5">
        <v>13</v>
      </c>
      <c r="E310" s="3" t="s">
        <v>647</v>
      </c>
      <c r="F310" s="3" t="s">
        <v>652</v>
      </c>
      <c r="G310" s="3" t="s">
        <v>689</v>
      </c>
      <c r="H310" s="3" t="s">
        <v>705</v>
      </c>
      <c r="I310" s="3" t="s">
        <v>710</v>
      </c>
      <c r="J310" s="3" t="s">
        <v>716</v>
      </c>
      <c r="K310" s="3" t="s">
        <v>728</v>
      </c>
      <c r="L310" s="3" t="s">
        <v>1042</v>
      </c>
      <c r="M310" s="3">
        <v>122.29</v>
      </c>
      <c r="N310" s="3">
        <v>224.95</v>
      </c>
      <c r="O310" s="3">
        <v>0.153</v>
      </c>
      <c r="P310" s="3">
        <v>28</v>
      </c>
      <c r="Q310" s="3">
        <v>5334.9141999999993</v>
      </c>
      <c r="R310" s="3">
        <f t="shared" si="20"/>
        <v>3424.1200000000003</v>
      </c>
      <c r="S310" s="3">
        <v>1910.7941999999989</v>
      </c>
      <c r="T310" s="3">
        <f t="shared" si="21"/>
        <v>0.3581677471026618</v>
      </c>
      <c r="U310" s="3" t="str">
        <f t="shared" si="22"/>
        <v>Jan-2025</v>
      </c>
      <c r="AB310" s="3">
        <f t="shared" si="23"/>
        <v>3424.1200000000003</v>
      </c>
      <c r="AC310" s="3">
        <f t="shared" si="24"/>
        <v>5334.9141999999993</v>
      </c>
    </row>
    <row r="311" spans="1:29" x14ac:dyDescent="0.35">
      <c r="A311" s="3" t="s">
        <v>323</v>
      </c>
      <c r="B311" s="4">
        <v>44936</v>
      </c>
      <c r="C311" s="4">
        <v>44955</v>
      </c>
      <c r="D311" s="5">
        <v>19</v>
      </c>
      <c r="E311" s="3" t="s">
        <v>649</v>
      </c>
      <c r="F311" s="3" t="s">
        <v>657</v>
      </c>
      <c r="G311" s="3" t="s">
        <v>679</v>
      </c>
      <c r="H311" s="3" t="s">
        <v>703</v>
      </c>
      <c r="I311" s="3" t="s">
        <v>711</v>
      </c>
      <c r="J311" s="3" t="s">
        <v>726</v>
      </c>
      <c r="K311" s="3" t="s">
        <v>731</v>
      </c>
      <c r="L311" s="3" t="s">
        <v>1043</v>
      </c>
      <c r="M311" s="3">
        <v>401.66</v>
      </c>
      <c r="N311" s="3">
        <v>772.09</v>
      </c>
      <c r="O311" s="3">
        <v>8.8999999999999996E-2</v>
      </c>
      <c r="P311" s="3">
        <v>14</v>
      </c>
      <c r="Q311" s="3">
        <v>9847.2358600000007</v>
      </c>
      <c r="R311" s="3">
        <f t="shared" si="20"/>
        <v>5623.2400000000007</v>
      </c>
      <c r="S311" s="3">
        <v>4223.99586</v>
      </c>
      <c r="T311" s="3">
        <f t="shared" si="21"/>
        <v>0.42895244107619046</v>
      </c>
      <c r="U311" s="3" t="str">
        <f t="shared" si="22"/>
        <v>Jan-2023</v>
      </c>
      <c r="AB311" s="3">
        <f t="shared" si="23"/>
        <v>5623.2400000000007</v>
      </c>
      <c r="AC311" s="3">
        <f t="shared" si="24"/>
        <v>9847.2358600000007</v>
      </c>
    </row>
    <row r="312" spans="1:29" x14ac:dyDescent="0.35">
      <c r="A312" s="3" t="s">
        <v>324</v>
      </c>
      <c r="B312" s="4">
        <v>45655</v>
      </c>
      <c r="C312" s="4">
        <v>45669</v>
      </c>
      <c r="D312" s="5">
        <v>14</v>
      </c>
      <c r="E312" s="3" t="s">
        <v>649</v>
      </c>
      <c r="F312" s="3" t="s">
        <v>658</v>
      </c>
      <c r="G312" s="3" t="s">
        <v>693</v>
      </c>
      <c r="H312" s="3" t="s">
        <v>701</v>
      </c>
      <c r="I312" s="3" t="s">
        <v>711</v>
      </c>
      <c r="J312" s="3" t="s">
        <v>717</v>
      </c>
      <c r="K312" s="3" t="s">
        <v>732</v>
      </c>
      <c r="L312" s="3" t="s">
        <v>1044</v>
      </c>
      <c r="M312" s="3">
        <v>1399.72</v>
      </c>
      <c r="N312" s="3">
        <v>3149.21</v>
      </c>
      <c r="O312" s="3">
        <v>0.185</v>
      </c>
      <c r="P312" s="3">
        <v>12</v>
      </c>
      <c r="Q312" s="3">
        <v>30799.273800000003</v>
      </c>
      <c r="R312" s="3">
        <f t="shared" si="20"/>
        <v>16796.64</v>
      </c>
      <c r="S312" s="3">
        <v>14002.633800000003</v>
      </c>
      <c r="T312" s="3">
        <f t="shared" si="21"/>
        <v>0.45464168703873797</v>
      </c>
      <c r="U312" s="3" t="str">
        <f t="shared" si="22"/>
        <v>Dec-2024</v>
      </c>
      <c r="AB312" s="3">
        <f t="shared" si="23"/>
        <v>16796.64</v>
      </c>
      <c r="AC312" s="3">
        <f t="shared" si="24"/>
        <v>30799.273800000003</v>
      </c>
    </row>
    <row r="313" spans="1:29" x14ac:dyDescent="0.35">
      <c r="A313" s="3" t="s">
        <v>325</v>
      </c>
      <c r="B313" s="4">
        <v>45435</v>
      </c>
      <c r="C313" s="4">
        <v>45449</v>
      </c>
      <c r="D313" s="5">
        <v>14</v>
      </c>
      <c r="E313" s="3" t="s">
        <v>648</v>
      </c>
      <c r="F313" s="3" t="s">
        <v>655</v>
      </c>
      <c r="G313" s="3" t="s">
        <v>692</v>
      </c>
      <c r="H313" s="3" t="s">
        <v>703</v>
      </c>
      <c r="I313" s="3" t="s">
        <v>708</v>
      </c>
      <c r="J313" s="3" t="s">
        <v>714</v>
      </c>
      <c r="K313" s="3" t="s">
        <v>729</v>
      </c>
      <c r="L313" s="3" t="s">
        <v>1045</v>
      </c>
      <c r="M313" s="3">
        <v>51.13</v>
      </c>
      <c r="N313" s="3">
        <v>57.53</v>
      </c>
      <c r="O313" s="3">
        <v>4.4999999999999998E-2</v>
      </c>
      <c r="P313" s="3">
        <v>16</v>
      </c>
      <c r="Q313" s="3">
        <v>879.05840000000001</v>
      </c>
      <c r="R313" s="3">
        <f t="shared" si="20"/>
        <v>818.08</v>
      </c>
      <c r="S313" s="3">
        <v>60.978399999999965</v>
      </c>
      <c r="T313" s="3">
        <f t="shared" si="21"/>
        <v>6.9367859973808302E-2</v>
      </c>
      <c r="U313" s="3" t="str">
        <f t="shared" si="22"/>
        <v>May-2024</v>
      </c>
      <c r="AB313" s="3">
        <f t="shared" si="23"/>
        <v>818.08</v>
      </c>
      <c r="AC313" s="3">
        <f t="shared" si="24"/>
        <v>879.05840000000001</v>
      </c>
    </row>
    <row r="314" spans="1:29" x14ac:dyDescent="0.35">
      <c r="A314" s="3" t="s">
        <v>326</v>
      </c>
      <c r="B314" s="4">
        <v>45101</v>
      </c>
      <c r="C314" s="4">
        <v>45099</v>
      </c>
      <c r="D314" s="5">
        <v>2</v>
      </c>
      <c r="E314" s="3" t="s">
        <v>648</v>
      </c>
      <c r="F314" s="3" t="s">
        <v>653</v>
      </c>
      <c r="G314" s="3" t="s">
        <v>667</v>
      </c>
      <c r="H314" s="3" t="s">
        <v>703</v>
      </c>
      <c r="I314" s="3" t="s">
        <v>707</v>
      </c>
      <c r="J314" s="3" t="s">
        <v>724</v>
      </c>
      <c r="K314" s="3" t="s">
        <v>733</v>
      </c>
      <c r="L314" s="3" t="s">
        <v>1046</v>
      </c>
      <c r="M314" s="3">
        <v>471.42</v>
      </c>
      <c r="N314" s="3">
        <v>824.81</v>
      </c>
      <c r="O314" s="3">
        <v>8.7999999999999995E-2</v>
      </c>
      <c r="P314" s="3">
        <v>15</v>
      </c>
      <c r="Q314" s="3">
        <v>11283.400799999999</v>
      </c>
      <c r="R314" s="3">
        <f t="shared" si="20"/>
        <v>7071.3</v>
      </c>
      <c r="S314" s="3">
        <v>4212.1007999999993</v>
      </c>
      <c r="T314" s="3">
        <f t="shared" si="21"/>
        <v>0.37330064531608231</v>
      </c>
      <c r="U314" s="3" t="str">
        <f t="shared" si="22"/>
        <v>Jun-2023</v>
      </c>
      <c r="AB314" s="3">
        <f t="shared" si="23"/>
        <v>7071.3</v>
      </c>
      <c r="AC314" s="3">
        <f t="shared" si="24"/>
        <v>11283.400799999999</v>
      </c>
    </row>
    <row r="315" spans="1:29" x14ac:dyDescent="0.35">
      <c r="A315" s="3" t="s">
        <v>327</v>
      </c>
      <c r="B315" s="4">
        <v>45600</v>
      </c>
      <c r="C315" s="4">
        <v>45601</v>
      </c>
      <c r="D315" s="5">
        <v>1</v>
      </c>
      <c r="E315" s="3" t="s">
        <v>649</v>
      </c>
      <c r="F315" s="3" t="s">
        <v>658</v>
      </c>
      <c r="G315" s="3" t="s">
        <v>683</v>
      </c>
      <c r="H315" s="3" t="s">
        <v>701</v>
      </c>
      <c r="I315" s="3" t="s">
        <v>707</v>
      </c>
      <c r="J315" s="3" t="s">
        <v>724</v>
      </c>
      <c r="K315" s="3" t="s">
        <v>728</v>
      </c>
      <c r="L315" s="3" t="s">
        <v>1047</v>
      </c>
      <c r="M315" s="3">
        <v>840.68</v>
      </c>
      <c r="N315" s="3">
        <v>1493.53</v>
      </c>
      <c r="O315" s="3">
        <v>0</v>
      </c>
      <c r="P315" s="3">
        <v>27</v>
      </c>
      <c r="Q315" s="3">
        <v>40325.31</v>
      </c>
      <c r="R315" s="3">
        <f t="shared" si="20"/>
        <v>22698.359999999997</v>
      </c>
      <c r="S315" s="3">
        <v>17626.95</v>
      </c>
      <c r="T315" s="3">
        <f t="shared" si="21"/>
        <v>0.43711877230454027</v>
      </c>
      <c r="U315" s="3" t="str">
        <f t="shared" si="22"/>
        <v>Nov-2024</v>
      </c>
      <c r="AB315" s="3">
        <f t="shared" si="23"/>
        <v>22698.359999999997</v>
      </c>
      <c r="AC315" s="3">
        <f t="shared" si="24"/>
        <v>40325.31</v>
      </c>
    </row>
    <row r="316" spans="1:29" x14ac:dyDescent="0.35">
      <c r="A316" s="3" t="s">
        <v>328</v>
      </c>
      <c r="B316" s="4">
        <v>45451</v>
      </c>
      <c r="C316" s="4">
        <v>45467</v>
      </c>
      <c r="D316" s="5">
        <v>16</v>
      </c>
      <c r="E316" s="3" t="s">
        <v>646</v>
      </c>
      <c r="F316" s="3" t="s">
        <v>661</v>
      </c>
      <c r="G316" s="3" t="s">
        <v>687</v>
      </c>
      <c r="H316" s="3" t="s">
        <v>702</v>
      </c>
      <c r="I316" s="3" t="s">
        <v>710</v>
      </c>
      <c r="J316" s="3" t="s">
        <v>722</v>
      </c>
      <c r="K316" s="3" t="s">
        <v>732</v>
      </c>
      <c r="L316" s="3" t="s">
        <v>1048</v>
      </c>
      <c r="M316" s="3">
        <v>597.85</v>
      </c>
      <c r="N316" s="3">
        <v>741.92</v>
      </c>
      <c r="O316" s="3">
        <v>3.1E-2</v>
      </c>
      <c r="P316" s="3">
        <v>7</v>
      </c>
      <c r="Q316" s="3">
        <v>5032.4433599999993</v>
      </c>
      <c r="R316" s="3">
        <f t="shared" si="20"/>
        <v>4184.95</v>
      </c>
      <c r="S316" s="3">
        <v>847.49335999999948</v>
      </c>
      <c r="T316" s="3">
        <f t="shared" si="21"/>
        <v>0.16840594108544515</v>
      </c>
      <c r="U316" s="3" t="str">
        <f t="shared" si="22"/>
        <v>Jun-2024</v>
      </c>
      <c r="AB316" s="3">
        <f t="shared" si="23"/>
        <v>4184.95</v>
      </c>
      <c r="AC316" s="3">
        <f t="shared" si="24"/>
        <v>5032.4433599999993</v>
      </c>
    </row>
    <row r="317" spans="1:29" x14ac:dyDescent="0.35">
      <c r="A317" s="3" t="s">
        <v>329</v>
      </c>
      <c r="B317" s="4">
        <v>45809</v>
      </c>
      <c r="C317" s="4">
        <v>45814</v>
      </c>
      <c r="D317" s="5">
        <v>5</v>
      </c>
      <c r="E317" s="3" t="s">
        <v>649</v>
      </c>
      <c r="F317" s="3" t="s">
        <v>657</v>
      </c>
      <c r="G317" s="3" t="s">
        <v>690</v>
      </c>
      <c r="H317" s="3" t="s">
        <v>704</v>
      </c>
      <c r="I317" s="3" t="s">
        <v>710</v>
      </c>
      <c r="J317" s="3" t="s">
        <v>715</v>
      </c>
      <c r="K317" s="3" t="s">
        <v>727</v>
      </c>
      <c r="L317" s="3" t="s">
        <v>1049</v>
      </c>
      <c r="M317" s="3">
        <v>379.45</v>
      </c>
      <c r="N317" s="3">
        <v>742.23</v>
      </c>
      <c r="O317" s="3">
        <v>0.09</v>
      </c>
      <c r="P317" s="3">
        <v>13</v>
      </c>
      <c r="Q317" s="3">
        <v>8780.5809000000008</v>
      </c>
      <c r="R317" s="3">
        <f t="shared" si="20"/>
        <v>4932.8499999999995</v>
      </c>
      <c r="S317" s="3">
        <v>3847.7309000000014</v>
      </c>
      <c r="T317" s="3">
        <f t="shared" si="21"/>
        <v>0.43820915083192286</v>
      </c>
      <c r="U317" s="3" t="str">
        <f t="shared" si="22"/>
        <v>Jun-2025</v>
      </c>
      <c r="AB317" s="3">
        <f t="shared" si="23"/>
        <v>4932.8499999999995</v>
      </c>
      <c r="AC317" s="3">
        <f t="shared" si="24"/>
        <v>8780.5809000000008</v>
      </c>
    </row>
    <row r="318" spans="1:29" x14ac:dyDescent="0.35">
      <c r="A318" s="3" t="s">
        <v>330</v>
      </c>
      <c r="B318" s="4">
        <v>45052</v>
      </c>
      <c r="C318" s="4">
        <v>45060</v>
      </c>
      <c r="D318" s="5">
        <v>8</v>
      </c>
      <c r="E318" s="3" t="s">
        <v>647</v>
      </c>
      <c r="F318" s="3" t="s">
        <v>652</v>
      </c>
      <c r="G318" s="3" t="s">
        <v>666</v>
      </c>
      <c r="H318" s="3" t="s">
        <v>706</v>
      </c>
      <c r="I318" s="3" t="s">
        <v>709</v>
      </c>
      <c r="J318" s="3" t="s">
        <v>717</v>
      </c>
      <c r="K318" s="3" t="s">
        <v>730</v>
      </c>
      <c r="L318" s="3" t="s">
        <v>1050</v>
      </c>
      <c r="M318" s="3">
        <v>291.18</v>
      </c>
      <c r="N318" s="3">
        <v>479.54</v>
      </c>
      <c r="O318" s="3">
        <v>0.14099999999999999</v>
      </c>
      <c r="P318" s="3">
        <v>22</v>
      </c>
      <c r="Q318" s="3">
        <v>9062.34692</v>
      </c>
      <c r="R318" s="3">
        <f t="shared" si="20"/>
        <v>6405.96</v>
      </c>
      <c r="S318" s="3">
        <v>2656.3869199999999</v>
      </c>
      <c r="T318" s="3">
        <f t="shared" si="21"/>
        <v>0.29312350801066001</v>
      </c>
      <c r="U318" s="3" t="str">
        <f t="shared" si="22"/>
        <v>May-2023</v>
      </c>
      <c r="AB318" s="3">
        <f t="shared" si="23"/>
        <v>6405.96</v>
      </c>
      <c r="AC318" s="3">
        <f t="shared" si="24"/>
        <v>9062.34692</v>
      </c>
    </row>
    <row r="319" spans="1:29" x14ac:dyDescent="0.35">
      <c r="A319" s="3" t="s">
        <v>331</v>
      </c>
      <c r="B319" s="4">
        <v>45244</v>
      </c>
      <c r="C319" s="4">
        <v>45260</v>
      </c>
      <c r="D319" s="5">
        <v>16</v>
      </c>
      <c r="E319" s="3" t="s">
        <v>648</v>
      </c>
      <c r="F319" s="3" t="s">
        <v>655</v>
      </c>
      <c r="G319" s="3" t="s">
        <v>670</v>
      </c>
      <c r="H319" s="3" t="s">
        <v>706</v>
      </c>
      <c r="I319" s="3" t="s">
        <v>711</v>
      </c>
      <c r="J319" s="3" t="s">
        <v>723</v>
      </c>
      <c r="K319" s="3" t="s">
        <v>729</v>
      </c>
      <c r="L319" s="3" t="s">
        <v>1051</v>
      </c>
      <c r="M319" s="3">
        <v>1017.92</v>
      </c>
      <c r="N319" s="3">
        <v>1175.25</v>
      </c>
      <c r="O319" s="3">
        <v>7.4999999999999997E-2</v>
      </c>
      <c r="P319" s="3">
        <v>15</v>
      </c>
      <c r="Q319" s="3">
        <v>16306.59375</v>
      </c>
      <c r="R319" s="3">
        <f t="shared" si="20"/>
        <v>15268.8</v>
      </c>
      <c r="S319" s="3">
        <v>1037.7937500000007</v>
      </c>
      <c r="T319" s="3">
        <f t="shared" si="21"/>
        <v>6.3642583234159542E-2</v>
      </c>
      <c r="U319" s="3" t="str">
        <f t="shared" si="22"/>
        <v>Nov-2023</v>
      </c>
      <c r="AB319" s="3">
        <f t="shared" si="23"/>
        <v>15268.8</v>
      </c>
      <c r="AC319" s="3">
        <f t="shared" si="24"/>
        <v>16306.59375</v>
      </c>
    </row>
    <row r="320" spans="1:29" x14ac:dyDescent="0.35">
      <c r="A320" s="3" t="s">
        <v>332</v>
      </c>
      <c r="B320" s="4">
        <v>45748</v>
      </c>
      <c r="C320" s="4">
        <v>45774</v>
      </c>
      <c r="D320" s="5">
        <v>26</v>
      </c>
      <c r="E320" s="3" t="s">
        <v>648</v>
      </c>
      <c r="F320" s="3" t="s">
        <v>660</v>
      </c>
      <c r="G320" s="3" t="s">
        <v>686</v>
      </c>
      <c r="H320" s="3" t="s">
        <v>701</v>
      </c>
      <c r="I320" s="3" t="s">
        <v>711</v>
      </c>
      <c r="J320" s="3" t="s">
        <v>714</v>
      </c>
      <c r="K320" s="3" t="s">
        <v>732</v>
      </c>
      <c r="L320" s="3" t="s">
        <v>1052</v>
      </c>
      <c r="M320" s="3">
        <v>156.55000000000001</v>
      </c>
      <c r="N320" s="3">
        <v>227.45</v>
      </c>
      <c r="O320" s="3">
        <v>1.4E-2</v>
      </c>
      <c r="P320" s="3">
        <v>13</v>
      </c>
      <c r="Q320" s="3">
        <v>2915.4540999999999</v>
      </c>
      <c r="R320" s="3">
        <f t="shared" si="20"/>
        <v>2035.15</v>
      </c>
      <c r="S320" s="3">
        <v>880.30409999999983</v>
      </c>
      <c r="T320" s="3">
        <f t="shared" si="21"/>
        <v>0.3019440779396938</v>
      </c>
      <c r="U320" s="3" t="str">
        <f t="shared" si="22"/>
        <v>Apr-2025</v>
      </c>
      <c r="AB320" s="3">
        <f t="shared" si="23"/>
        <v>2035.15</v>
      </c>
      <c r="AC320" s="3">
        <f t="shared" si="24"/>
        <v>2915.4540999999999</v>
      </c>
    </row>
    <row r="321" spans="1:29" x14ac:dyDescent="0.35">
      <c r="A321" s="3" t="s">
        <v>333</v>
      </c>
      <c r="B321" s="4">
        <v>45008</v>
      </c>
      <c r="C321" s="4">
        <v>45031</v>
      </c>
      <c r="D321" s="5">
        <v>23</v>
      </c>
      <c r="E321" s="3" t="s">
        <v>646</v>
      </c>
      <c r="F321" s="3" t="s">
        <v>650</v>
      </c>
      <c r="G321" s="3" t="s">
        <v>675</v>
      </c>
      <c r="H321" s="3" t="s">
        <v>705</v>
      </c>
      <c r="I321" s="3" t="s">
        <v>707</v>
      </c>
      <c r="J321" s="3" t="s">
        <v>712</v>
      </c>
      <c r="K321" s="3" t="s">
        <v>733</v>
      </c>
      <c r="L321" s="3" t="s">
        <v>1053</v>
      </c>
      <c r="M321" s="3">
        <v>875.36</v>
      </c>
      <c r="N321" s="3">
        <v>1178.6199999999999</v>
      </c>
      <c r="O321" s="3">
        <v>0.151</v>
      </c>
      <c r="P321" s="3">
        <v>53</v>
      </c>
      <c r="Q321" s="3">
        <v>53034.364139999991</v>
      </c>
      <c r="R321" s="3">
        <f t="shared" si="20"/>
        <v>46394.080000000002</v>
      </c>
      <c r="S321" s="3">
        <v>6640.2841399999888</v>
      </c>
      <c r="T321" s="3">
        <f t="shared" si="21"/>
        <v>0.12520719815685888</v>
      </c>
      <c r="U321" s="3" t="str">
        <f t="shared" si="22"/>
        <v>Mar-2023</v>
      </c>
      <c r="AB321" s="3">
        <f t="shared" si="23"/>
        <v>46394.080000000002</v>
      </c>
      <c r="AC321" s="3">
        <f t="shared" si="24"/>
        <v>53034.364139999991</v>
      </c>
    </row>
    <row r="322" spans="1:29" x14ac:dyDescent="0.35">
      <c r="A322" s="3" t="s">
        <v>334</v>
      </c>
      <c r="B322" s="4">
        <v>45440</v>
      </c>
      <c r="C322" s="4">
        <v>45461</v>
      </c>
      <c r="D322" s="5">
        <v>21</v>
      </c>
      <c r="E322" s="3" t="s">
        <v>649</v>
      </c>
      <c r="F322" s="3" t="s">
        <v>656</v>
      </c>
      <c r="G322" s="3" t="s">
        <v>698</v>
      </c>
      <c r="H322" s="3" t="s">
        <v>705</v>
      </c>
      <c r="I322" s="3" t="s">
        <v>708</v>
      </c>
      <c r="J322" s="3" t="s">
        <v>718</v>
      </c>
      <c r="K322" s="3" t="s">
        <v>730</v>
      </c>
      <c r="L322" s="3" t="s">
        <v>1054</v>
      </c>
      <c r="M322" s="3">
        <v>986.85</v>
      </c>
      <c r="N322" s="3">
        <v>2422.1</v>
      </c>
      <c r="O322" s="3">
        <v>7.5999999999999998E-2</v>
      </c>
      <c r="P322" s="3">
        <v>10</v>
      </c>
      <c r="Q322" s="3">
        <v>22380.204000000002</v>
      </c>
      <c r="R322" s="3">
        <f t="shared" si="20"/>
        <v>9868.5</v>
      </c>
      <c r="S322" s="3">
        <v>12511.704000000002</v>
      </c>
      <c r="T322" s="3">
        <f t="shared" si="21"/>
        <v>0.55905227673527913</v>
      </c>
      <c r="U322" s="3" t="str">
        <f t="shared" si="22"/>
        <v>May-2024</v>
      </c>
      <c r="AB322" s="3">
        <f t="shared" si="23"/>
        <v>9868.5</v>
      </c>
      <c r="AC322" s="3">
        <f t="shared" si="24"/>
        <v>22380.204000000002</v>
      </c>
    </row>
    <row r="323" spans="1:29" x14ac:dyDescent="0.35">
      <c r="A323" s="3" t="s">
        <v>335</v>
      </c>
      <c r="B323" s="4">
        <v>45293</v>
      </c>
      <c r="C323" s="4">
        <v>45292</v>
      </c>
      <c r="D323" s="5">
        <v>1</v>
      </c>
      <c r="E323" s="3" t="s">
        <v>648</v>
      </c>
      <c r="F323" s="3" t="s">
        <v>660</v>
      </c>
      <c r="G323" s="3" t="s">
        <v>677</v>
      </c>
      <c r="H323" s="3" t="s">
        <v>702</v>
      </c>
      <c r="I323" s="3" t="s">
        <v>709</v>
      </c>
      <c r="J323" s="3" t="s">
        <v>717</v>
      </c>
      <c r="K323" s="3" t="s">
        <v>729</v>
      </c>
      <c r="L323" s="3" t="s">
        <v>1055</v>
      </c>
      <c r="M323" s="3">
        <v>404.77</v>
      </c>
      <c r="N323" s="3">
        <v>433.88</v>
      </c>
      <c r="O323" s="3">
        <v>0.215</v>
      </c>
      <c r="P323" s="3">
        <v>22</v>
      </c>
      <c r="Q323" s="3">
        <v>7493.1076000000012</v>
      </c>
      <c r="R323" s="3">
        <f t="shared" ref="R323:R386" si="25">M323*P323</f>
        <v>8904.9399999999987</v>
      </c>
      <c r="S323" s="3">
        <v>1411.8323999999975</v>
      </c>
      <c r="T323" s="3">
        <f t="shared" ref="T323:T386" si="26">IF(Q323=0,0,S323/Q323)</f>
        <v>0.18841747314558746</v>
      </c>
      <c r="U323" s="3" t="str">
        <f t="shared" ref="U323:U386" si="27">TEXT(B323, "mmm-yyyy")</f>
        <v>Jan-2024</v>
      </c>
      <c r="AB323" s="3">
        <f t="shared" ref="AB323:AB386" si="28">M323 * P323 * (1+ $AF$2)</f>
        <v>8904.9399999999987</v>
      </c>
      <c r="AC323" s="3">
        <f t="shared" ref="AC323:AC386" si="29">N323 * P323 * (1- MIN(O323, $AF$3))</f>
        <v>7636.2880000000005</v>
      </c>
    </row>
    <row r="324" spans="1:29" x14ac:dyDescent="0.35">
      <c r="A324" s="3" t="s">
        <v>336</v>
      </c>
      <c r="B324" s="4">
        <v>44985</v>
      </c>
      <c r="C324" s="4">
        <v>44984</v>
      </c>
      <c r="D324" s="5">
        <v>1</v>
      </c>
      <c r="E324" s="3" t="s">
        <v>649</v>
      </c>
      <c r="F324" s="3" t="s">
        <v>657</v>
      </c>
      <c r="G324" s="3" t="s">
        <v>673</v>
      </c>
      <c r="H324" s="3" t="s">
        <v>701</v>
      </c>
      <c r="I324" s="3" t="s">
        <v>707</v>
      </c>
      <c r="J324" s="3" t="s">
        <v>723</v>
      </c>
      <c r="K324" s="3" t="s">
        <v>729</v>
      </c>
      <c r="L324" s="3" t="s">
        <v>1056</v>
      </c>
      <c r="M324" s="3">
        <v>1299.81</v>
      </c>
      <c r="N324" s="3">
        <v>3149.13</v>
      </c>
      <c r="O324" s="3">
        <v>0.10299999999999999</v>
      </c>
      <c r="P324" s="3">
        <v>14</v>
      </c>
      <c r="Q324" s="3">
        <v>39546.774539999999</v>
      </c>
      <c r="R324" s="3">
        <f t="shared" si="25"/>
        <v>18197.34</v>
      </c>
      <c r="S324" s="3">
        <v>21349.434539999998</v>
      </c>
      <c r="T324" s="3">
        <f t="shared" si="26"/>
        <v>0.53985273864511729</v>
      </c>
      <c r="U324" s="3" t="str">
        <f t="shared" si="27"/>
        <v>Feb-2023</v>
      </c>
      <c r="AB324" s="3">
        <f t="shared" si="28"/>
        <v>18197.34</v>
      </c>
      <c r="AC324" s="3">
        <f t="shared" si="29"/>
        <v>39546.774539999999</v>
      </c>
    </row>
    <row r="325" spans="1:29" x14ac:dyDescent="0.35">
      <c r="A325" s="3" t="s">
        <v>337</v>
      </c>
      <c r="B325" s="4">
        <v>45340</v>
      </c>
      <c r="C325" s="4">
        <v>45362</v>
      </c>
      <c r="D325" s="5">
        <v>22</v>
      </c>
      <c r="E325" s="3" t="s">
        <v>648</v>
      </c>
      <c r="F325" s="3" t="s">
        <v>655</v>
      </c>
      <c r="G325" s="3" t="s">
        <v>670</v>
      </c>
      <c r="H325" s="3" t="s">
        <v>704</v>
      </c>
      <c r="I325" s="3" t="s">
        <v>708</v>
      </c>
      <c r="J325" s="3" t="s">
        <v>720</v>
      </c>
      <c r="K325" s="3" t="s">
        <v>727</v>
      </c>
      <c r="L325" s="3" t="s">
        <v>1057</v>
      </c>
      <c r="M325" s="3">
        <v>80.48</v>
      </c>
      <c r="N325" s="3">
        <v>65.650000000000006</v>
      </c>
      <c r="O325" s="3">
        <v>0.17599999999999999</v>
      </c>
      <c r="P325" s="3">
        <v>13</v>
      </c>
      <c r="Q325" s="3">
        <v>703.2428000000001</v>
      </c>
      <c r="R325" s="3">
        <f t="shared" si="25"/>
        <v>1046.24</v>
      </c>
      <c r="S325" s="3">
        <v>342.99719999999991</v>
      </c>
      <c r="T325" s="3">
        <f t="shared" si="26"/>
        <v>0.48773652570634191</v>
      </c>
      <c r="U325" s="3" t="str">
        <f t="shared" si="27"/>
        <v>Feb-2024</v>
      </c>
      <c r="AB325" s="3">
        <f t="shared" si="28"/>
        <v>1046.24</v>
      </c>
      <c r="AC325" s="3">
        <f t="shared" si="29"/>
        <v>703.2428000000001</v>
      </c>
    </row>
    <row r="326" spans="1:29" x14ac:dyDescent="0.35">
      <c r="A326" s="3" t="s">
        <v>338</v>
      </c>
      <c r="B326" s="4">
        <v>45544</v>
      </c>
      <c r="C326" s="4">
        <v>45573</v>
      </c>
      <c r="D326" s="5">
        <v>29</v>
      </c>
      <c r="E326" s="3" t="s">
        <v>648</v>
      </c>
      <c r="F326" s="3" t="s">
        <v>655</v>
      </c>
      <c r="G326" s="3" t="s">
        <v>670</v>
      </c>
      <c r="H326" s="3" t="s">
        <v>702</v>
      </c>
      <c r="I326" s="3" t="s">
        <v>711</v>
      </c>
      <c r="J326" s="3" t="s">
        <v>713</v>
      </c>
      <c r="K326" s="3" t="s">
        <v>727</v>
      </c>
      <c r="L326" s="3" t="s">
        <v>1058</v>
      </c>
      <c r="M326" s="3">
        <v>1010.33</v>
      </c>
      <c r="N326" s="3">
        <v>2492.14</v>
      </c>
      <c r="O326" s="3">
        <v>5.0999999999999997E-2</v>
      </c>
      <c r="P326" s="3">
        <v>11</v>
      </c>
      <c r="Q326" s="3">
        <v>26015.449459999996</v>
      </c>
      <c r="R326" s="3">
        <f t="shared" si="25"/>
        <v>11113.630000000001</v>
      </c>
      <c r="S326" s="3">
        <v>14901.819459999995</v>
      </c>
      <c r="T326" s="3">
        <f t="shared" si="26"/>
        <v>0.57280653493656752</v>
      </c>
      <c r="U326" s="3" t="str">
        <f t="shared" si="27"/>
        <v>Sep-2024</v>
      </c>
      <c r="AB326" s="3">
        <f t="shared" si="28"/>
        <v>11113.630000000001</v>
      </c>
      <c r="AC326" s="3">
        <f t="shared" si="29"/>
        <v>26015.449459999996</v>
      </c>
    </row>
    <row r="327" spans="1:29" x14ac:dyDescent="0.35">
      <c r="A327" s="3" t="s">
        <v>339</v>
      </c>
      <c r="B327" s="4">
        <v>45053</v>
      </c>
      <c r="C327" s="4">
        <v>45075</v>
      </c>
      <c r="D327" s="5">
        <v>22</v>
      </c>
      <c r="E327" s="3" t="s">
        <v>646</v>
      </c>
      <c r="F327" s="3" t="s">
        <v>661</v>
      </c>
      <c r="G327" s="3" t="s">
        <v>687</v>
      </c>
      <c r="H327" s="3" t="s">
        <v>702</v>
      </c>
      <c r="I327" s="3" t="s">
        <v>710</v>
      </c>
      <c r="J327" s="3" t="s">
        <v>723</v>
      </c>
      <c r="K327" s="3" t="s">
        <v>733</v>
      </c>
      <c r="L327" s="3" t="s">
        <v>1059</v>
      </c>
      <c r="M327" s="3">
        <v>653.86</v>
      </c>
      <c r="N327" s="3">
        <v>931.84</v>
      </c>
      <c r="O327" s="3">
        <v>0.121</v>
      </c>
      <c r="P327" s="3">
        <v>12</v>
      </c>
      <c r="Q327" s="3">
        <v>9829.0483199999999</v>
      </c>
      <c r="R327" s="3">
        <f t="shared" si="25"/>
        <v>7846.32</v>
      </c>
      <c r="S327" s="3">
        <v>1982.7283200000002</v>
      </c>
      <c r="T327" s="3">
        <f t="shared" si="26"/>
        <v>0.20172129136506273</v>
      </c>
      <c r="U327" s="3" t="str">
        <f t="shared" si="27"/>
        <v>May-2023</v>
      </c>
      <c r="AB327" s="3">
        <f t="shared" si="28"/>
        <v>7846.32</v>
      </c>
      <c r="AC327" s="3">
        <f t="shared" si="29"/>
        <v>9829.0483199999999</v>
      </c>
    </row>
    <row r="328" spans="1:29" x14ac:dyDescent="0.35">
      <c r="A328" s="3" t="s">
        <v>340</v>
      </c>
      <c r="B328" s="4">
        <v>45303</v>
      </c>
      <c r="C328" s="4">
        <v>45320</v>
      </c>
      <c r="D328" s="5">
        <v>17</v>
      </c>
      <c r="E328" s="3" t="s">
        <v>647</v>
      </c>
      <c r="F328" s="3" t="s">
        <v>654</v>
      </c>
      <c r="G328" s="3" t="s">
        <v>696</v>
      </c>
      <c r="H328" s="3" t="s">
        <v>705</v>
      </c>
      <c r="I328" s="3" t="s">
        <v>711</v>
      </c>
      <c r="J328" s="3" t="s">
        <v>717</v>
      </c>
      <c r="K328" s="3" t="s">
        <v>727</v>
      </c>
      <c r="L328" s="3" t="s">
        <v>1060</v>
      </c>
      <c r="M328" s="3">
        <v>310.02</v>
      </c>
      <c r="N328" s="3">
        <v>619.51</v>
      </c>
      <c r="O328" s="3">
        <v>4.2000000000000003E-2</v>
      </c>
      <c r="P328" s="3">
        <v>4</v>
      </c>
      <c r="Q328" s="3">
        <v>2373.9623200000001</v>
      </c>
      <c r="R328" s="3">
        <f t="shared" si="25"/>
        <v>1240.08</v>
      </c>
      <c r="S328" s="3">
        <v>1133.8823200000002</v>
      </c>
      <c r="T328" s="3">
        <f t="shared" si="26"/>
        <v>0.47763282106347843</v>
      </c>
      <c r="U328" s="3" t="str">
        <f t="shared" si="27"/>
        <v>Jan-2024</v>
      </c>
      <c r="AB328" s="3">
        <f t="shared" si="28"/>
        <v>1240.08</v>
      </c>
      <c r="AC328" s="3">
        <f t="shared" si="29"/>
        <v>2373.9623200000001</v>
      </c>
    </row>
    <row r="329" spans="1:29" x14ac:dyDescent="0.35">
      <c r="A329" s="3" t="s">
        <v>341</v>
      </c>
      <c r="B329" s="4">
        <v>45087</v>
      </c>
      <c r="C329" s="4">
        <v>45095</v>
      </c>
      <c r="D329" s="5">
        <v>8</v>
      </c>
      <c r="E329" s="3" t="s">
        <v>646</v>
      </c>
      <c r="F329" s="3" t="s">
        <v>650</v>
      </c>
      <c r="G329" s="3" t="s">
        <v>678</v>
      </c>
      <c r="H329" s="3" t="s">
        <v>706</v>
      </c>
      <c r="I329" s="3" t="s">
        <v>711</v>
      </c>
      <c r="J329" s="3" t="s">
        <v>722</v>
      </c>
      <c r="K329" s="3" t="s">
        <v>730</v>
      </c>
      <c r="L329" s="3" t="s">
        <v>1061</v>
      </c>
      <c r="M329" s="3">
        <v>894.23</v>
      </c>
      <c r="N329" s="3">
        <v>1421.55</v>
      </c>
      <c r="O329" s="3">
        <v>0.109</v>
      </c>
      <c r="P329" s="3">
        <v>3</v>
      </c>
      <c r="Q329" s="3">
        <v>3799.8031499999997</v>
      </c>
      <c r="R329" s="3">
        <f t="shared" si="25"/>
        <v>2682.69</v>
      </c>
      <c r="S329" s="3">
        <v>1117.1131499999997</v>
      </c>
      <c r="T329" s="3">
        <f t="shared" si="26"/>
        <v>0.29399237431549574</v>
      </c>
      <c r="U329" s="3" t="str">
        <f t="shared" si="27"/>
        <v>Jun-2023</v>
      </c>
      <c r="AB329" s="3">
        <f t="shared" si="28"/>
        <v>2682.69</v>
      </c>
      <c r="AC329" s="3">
        <f t="shared" si="29"/>
        <v>3799.8031499999997</v>
      </c>
    </row>
    <row r="330" spans="1:29" x14ac:dyDescent="0.35">
      <c r="A330" s="3" t="s">
        <v>342</v>
      </c>
      <c r="B330" s="4">
        <v>45796</v>
      </c>
      <c r="C330" s="4">
        <v>45794</v>
      </c>
      <c r="D330" s="5">
        <v>2</v>
      </c>
      <c r="E330" s="3" t="s">
        <v>648</v>
      </c>
      <c r="F330" s="3" t="s">
        <v>655</v>
      </c>
      <c r="G330" s="3" t="s">
        <v>670</v>
      </c>
      <c r="H330" s="3" t="s">
        <v>705</v>
      </c>
      <c r="I330" s="3" t="s">
        <v>710</v>
      </c>
      <c r="J330" s="3" t="s">
        <v>716</v>
      </c>
      <c r="K330" s="3" t="s">
        <v>732</v>
      </c>
      <c r="L330" s="3" t="s">
        <v>1062</v>
      </c>
      <c r="M330" s="3">
        <v>383.77</v>
      </c>
      <c r="N330" s="3">
        <v>952.56</v>
      </c>
      <c r="O330" s="3">
        <v>0.34599999999999997</v>
      </c>
      <c r="P330" s="3">
        <v>10</v>
      </c>
      <c r="Q330" s="3">
        <v>6229.7423999999992</v>
      </c>
      <c r="R330" s="3">
        <f t="shared" si="25"/>
        <v>3837.7</v>
      </c>
      <c r="S330" s="3">
        <v>2392.0423999999994</v>
      </c>
      <c r="T330" s="3">
        <f t="shared" si="26"/>
        <v>0.38397131797937578</v>
      </c>
      <c r="U330" s="3" t="str">
        <f t="shared" si="27"/>
        <v>May-2025</v>
      </c>
      <c r="AB330" s="3">
        <f t="shared" si="28"/>
        <v>3837.7</v>
      </c>
      <c r="AC330" s="3">
        <f t="shared" si="29"/>
        <v>7620.48</v>
      </c>
    </row>
    <row r="331" spans="1:29" x14ac:dyDescent="0.35">
      <c r="A331" s="3" t="s">
        <v>343</v>
      </c>
      <c r="B331" s="4">
        <v>45221</v>
      </c>
      <c r="C331" s="4">
        <v>45246</v>
      </c>
      <c r="D331" s="5">
        <v>25</v>
      </c>
      <c r="E331" s="3" t="s">
        <v>648</v>
      </c>
      <c r="F331" s="3" t="s">
        <v>653</v>
      </c>
      <c r="G331" s="3" t="s">
        <v>667</v>
      </c>
      <c r="H331" s="3" t="s">
        <v>705</v>
      </c>
      <c r="I331" s="3" t="s">
        <v>709</v>
      </c>
      <c r="J331" s="3" t="s">
        <v>714</v>
      </c>
      <c r="K331" s="3" t="s">
        <v>731</v>
      </c>
      <c r="L331" s="3" t="s">
        <v>1063</v>
      </c>
      <c r="M331" s="3">
        <v>1373.31</v>
      </c>
      <c r="N331" s="3">
        <v>3154.14</v>
      </c>
      <c r="O331" s="3">
        <v>0.2</v>
      </c>
      <c r="P331" s="3">
        <v>11</v>
      </c>
      <c r="Q331" s="3">
        <v>27756.432000000001</v>
      </c>
      <c r="R331" s="3">
        <f t="shared" si="25"/>
        <v>15106.41</v>
      </c>
      <c r="S331" s="3">
        <v>12650.022000000001</v>
      </c>
      <c r="T331" s="3">
        <f t="shared" si="26"/>
        <v>0.45575101295440279</v>
      </c>
      <c r="U331" s="3" t="str">
        <f t="shared" si="27"/>
        <v>Oct-2023</v>
      </c>
      <c r="AB331" s="3">
        <f t="shared" si="28"/>
        <v>15106.41</v>
      </c>
      <c r="AC331" s="3">
        <f t="shared" si="29"/>
        <v>27756.432000000001</v>
      </c>
    </row>
    <row r="332" spans="1:29" x14ac:dyDescent="0.35">
      <c r="A332" s="3" t="s">
        <v>344</v>
      </c>
      <c r="B332" s="4">
        <v>45668</v>
      </c>
      <c r="C332" s="4">
        <v>45680</v>
      </c>
      <c r="D332" s="5">
        <v>12</v>
      </c>
      <c r="E332" s="3" t="s">
        <v>648</v>
      </c>
      <c r="F332" s="3" t="s">
        <v>660</v>
      </c>
      <c r="G332" s="3" t="s">
        <v>697</v>
      </c>
      <c r="H332" s="3" t="s">
        <v>704</v>
      </c>
      <c r="I332" s="3" t="s">
        <v>710</v>
      </c>
      <c r="J332" s="3" t="s">
        <v>722</v>
      </c>
      <c r="K332" s="3" t="s">
        <v>730</v>
      </c>
      <c r="L332" s="3" t="s">
        <v>1064</v>
      </c>
      <c r="M332" s="3">
        <v>100.69</v>
      </c>
      <c r="N332" s="3">
        <v>226.14</v>
      </c>
      <c r="O332" s="3">
        <v>6.5000000000000002E-2</v>
      </c>
      <c r="P332" s="3">
        <v>12</v>
      </c>
      <c r="Q332" s="3">
        <v>2537.2908000000002</v>
      </c>
      <c r="R332" s="3">
        <f t="shared" si="25"/>
        <v>1208.28</v>
      </c>
      <c r="S332" s="3">
        <v>1329.0108000000002</v>
      </c>
      <c r="T332" s="3">
        <f t="shared" si="26"/>
        <v>0.52379128162999689</v>
      </c>
      <c r="U332" s="3" t="str">
        <f t="shared" si="27"/>
        <v>Jan-2025</v>
      </c>
      <c r="AB332" s="3">
        <f t="shared" si="28"/>
        <v>1208.28</v>
      </c>
      <c r="AC332" s="3">
        <f t="shared" si="29"/>
        <v>2537.2908000000002</v>
      </c>
    </row>
    <row r="333" spans="1:29" x14ac:dyDescent="0.35">
      <c r="A333" s="3" t="s">
        <v>345</v>
      </c>
      <c r="B333" s="4">
        <v>45914</v>
      </c>
      <c r="C333" s="4">
        <v>45926</v>
      </c>
      <c r="D333" s="5">
        <v>12</v>
      </c>
      <c r="E333" s="3" t="s">
        <v>649</v>
      </c>
      <c r="F333" s="3" t="s">
        <v>658</v>
      </c>
      <c r="G333" s="3" t="s">
        <v>683</v>
      </c>
      <c r="H333" s="3" t="s">
        <v>705</v>
      </c>
      <c r="I333" s="3" t="s">
        <v>711</v>
      </c>
      <c r="J333" s="3" t="s">
        <v>725</v>
      </c>
      <c r="K333" s="3" t="s">
        <v>729</v>
      </c>
      <c r="L333" s="3" t="s">
        <v>1065</v>
      </c>
      <c r="M333" s="3">
        <v>425.15</v>
      </c>
      <c r="N333" s="3">
        <v>885.92</v>
      </c>
      <c r="O333" s="3">
        <v>0.23899999999999999</v>
      </c>
      <c r="P333" s="3">
        <v>13</v>
      </c>
      <c r="Q333" s="3">
        <v>8764.4065599999994</v>
      </c>
      <c r="R333" s="3">
        <f t="shared" si="25"/>
        <v>5526.95</v>
      </c>
      <c r="S333" s="3">
        <v>3237.4565599999996</v>
      </c>
      <c r="T333" s="3">
        <f t="shared" si="26"/>
        <v>0.3693868532725848</v>
      </c>
      <c r="U333" s="3" t="str">
        <f t="shared" si="27"/>
        <v>Sep-2025</v>
      </c>
      <c r="AB333" s="3">
        <f t="shared" si="28"/>
        <v>5526.95</v>
      </c>
      <c r="AC333" s="3">
        <f t="shared" si="29"/>
        <v>9213.5679999999993</v>
      </c>
    </row>
    <row r="334" spans="1:29" x14ac:dyDescent="0.35">
      <c r="A334" s="3" t="s">
        <v>346</v>
      </c>
      <c r="B334" s="4">
        <v>45168</v>
      </c>
      <c r="C334" s="4">
        <v>45172</v>
      </c>
      <c r="D334" s="5">
        <v>4</v>
      </c>
      <c r="E334" s="3" t="s">
        <v>647</v>
      </c>
      <c r="F334" s="3" t="s">
        <v>654</v>
      </c>
      <c r="G334" s="3" t="s">
        <v>680</v>
      </c>
      <c r="H334" s="3" t="s">
        <v>705</v>
      </c>
      <c r="I334" s="3" t="s">
        <v>709</v>
      </c>
      <c r="J334" s="3" t="s">
        <v>716</v>
      </c>
      <c r="K334" s="3" t="s">
        <v>733</v>
      </c>
      <c r="L334" s="3" t="s">
        <v>1066</v>
      </c>
      <c r="M334" s="3">
        <v>1082.25</v>
      </c>
      <c r="N334" s="3">
        <v>2433.34</v>
      </c>
      <c r="O334" s="3">
        <v>0.27</v>
      </c>
      <c r="P334" s="3">
        <v>4</v>
      </c>
      <c r="Q334" s="3">
        <v>7105.3528000000006</v>
      </c>
      <c r="R334" s="3">
        <f t="shared" si="25"/>
        <v>4329</v>
      </c>
      <c r="S334" s="3">
        <v>2776.3528000000006</v>
      </c>
      <c r="T334" s="3">
        <f t="shared" si="26"/>
        <v>0.3907410199251472</v>
      </c>
      <c r="U334" s="3" t="str">
        <f t="shared" si="27"/>
        <v>Aug-2023</v>
      </c>
      <c r="AB334" s="3">
        <f t="shared" si="28"/>
        <v>4329</v>
      </c>
      <c r="AC334" s="3">
        <f t="shared" si="29"/>
        <v>7786.688000000001</v>
      </c>
    </row>
    <row r="335" spans="1:29" x14ac:dyDescent="0.35">
      <c r="A335" s="3" t="s">
        <v>347</v>
      </c>
      <c r="B335" s="4">
        <v>45245</v>
      </c>
      <c r="C335" s="4">
        <v>45266</v>
      </c>
      <c r="D335" s="5">
        <v>21</v>
      </c>
      <c r="E335" s="3" t="s">
        <v>649</v>
      </c>
      <c r="F335" s="3" t="s">
        <v>658</v>
      </c>
      <c r="G335" s="3" t="s">
        <v>693</v>
      </c>
      <c r="H335" s="3" t="s">
        <v>702</v>
      </c>
      <c r="I335" s="3" t="s">
        <v>711</v>
      </c>
      <c r="J335" s="3" t="s">
        <v>722</v>
      </c>
      <c r="K335" s="3" t="s">
        <v>733</v>
      </c>
      <c r="L335" s="3" t="s">
        <v>1067</v>
      </c>
      <c r="M335" s="3">
        <v>1184.99</v>
      </c>
      <c r="N335" s="3">
        <v>1154.3399999999999</v>
      </c>
      <c r="O335" s="3">
        <v>2.8000000000000001E-2</v>
      </c>
      <c r="P335" s="3">
        <v>5</v>
      </c>
      <c r="Q335" s="3">
        <v>5610.0923999999995</v>
      </c>
      <c r="R335" s="3">
        <f t="shared" si="25"/>
        <v>5924.95</v>
      </c>
      <c r="S335" s="3">
        <v>314.85760000000028</v>
      </c>
      <c r="T335" s="3">
        <f t="shared" si="26"/>
        <v>5.6123424990290764E-2</v>
      </c>
      <c r="U335" s="3" t="str">
        <f t="shared" si="27"/>
        <v>Nov-2023</v>
      </c>
      <c r="AB335" s="3">
        <f t="shared" si="28"/>
        <v>5924.95</v>
      </c>
      <c r="AC335" s="3">
        <f t="shared" si="29"/>
        <v>5610.0923999999995</v>
      </c>
    </row>
    <row r="336" spans="1:29" x14ac:dyDescent="0.35">
      <c r="A336" s="3" t="s">
        <v>348</v>
      </c>
      <c r="B336" s="4">
        <v>45774</v>
      </c>
      <c r="C336" s="4">
        <v>45804</v>
      </c>
      <c r="D336" s="5">
        <v>30</v>
      </c>
      <c r="E336" s="3" t="s">
        <v>647</v>
      </c>
      <c r="F336" s="3" t="s">
        <v>654</v>
      </c>
      <c r="G336" s="3" t="s">
        <v>1422</v>
      </c>
      <c r="H336" s="3" t="s">
        <v>706</v>
      </c>
      <c r="I336" s="3" t="s">
        <v>709</v>
      </c>
      <c r="J336" s="3" t="s">
        <v>722</v>
      </c>
      <c r="K336" s="3" t="s">
        <v>730</v>
      </c>
      <c r="L336" s="3" t="s">
        <v>1068</v>
      </c>
      <c r="M336" s="3">
        <v>481.32</v>
      </c>
      <c r="N336" s="3">
        <v>1135.99</v>
      </c>
      <c r="O336" s="3">
        <v>0.14499999999999999</v>
      </c>
      <c r="P336" s="3">
        <v>5</v>
      </c>
      <c r="Q336" s="3">
        <v>4856.35725</v>
      </c>
      <c r="R336" s="3">
        <f t="shared" si="25"/>
        <v>2406.6</v>
      </c>
      <c r="S336" s="3">
        <v>2449.7572500000001</v>
      </c>
      <c r="T336" s="3">
        <f t="shared" si="26"/>
        <v>0.50444337677175621</v>
      </c>
      <c r="U336" s="3" t="str">
        <f t="shared" si="27"/>
        <v>Apr-2025</v>
      </c>
      <c r="AB336" s="3">
        <f t="shared" si="28"/>
        <v>2406.6</v>
      </c>
      <c r="AC336" s="3">
        <f t="shared" si="29"/>
        <v>4856.35725</v>
      </c>
    </row>
    <row r="337" spans="1:29" x14ac:dyDescent="0.35">
      <c r="A337" s="3" t="s">
        <v>349</v>
      </c>
      <c r="B337" s="4">
        <v>45391</v>
      </c>
      <c r="C337" s="4">
        <v>45400</v>
      </c>
      <c r="D337" s="5">
        <v>9</v>
      </c>
      <c r="E337" s="3" t="s">
        <v>649</v>
      </c>
      <c r="F337" s="3" t="s">
        <v>657</v>
      </c>
      <c r="G337" s="3" t="s">
        <v>679</v>
      </c>
      <c r="H337" s="3" t="s">
        <v>704</v>
      </c>
      <c r="I337" s="3" t="s">
        <v>708</v>
      </c>
      <c r="J337" s="3" t="s">
        <v>718</v>
      </c>
      <c r="K337" s="3" t="s">
        <v>728</v>
      </c>
      <c r="L337" s="3" t="s">
        <v>1069</v>
      </c>
      <c r="M337" s="3">
        <v>1288.8499999999999</v>
      </c>
      <c r="N337" s="3">
        <v>2751.84</v>
      </c>
      <c r="O337" s="3">
        <v>0.158</v>
      </c>
      <c r="P337" s="3">
        <v>7</v>
      </c>
      <c r="Q337" s="3">
        <v>16219.34496</v>
      </c>
      <c r="R337" s="3">
        <f t="shared" si="25"/>
        <v>9021.9499999999989</v>
      </c>
      <c r="S337" s="3">
        <v>7197.3949600000014</v>
      </c>
      <c r="T337" s="3">
        <f t="shared" si="26"/>
        <v>0.44375373837538756</v>
      </c>
      <c r="U337" s="3" t="str">
        <f t="shared" si="27"/>
        <v>Apr-2024</v>
      </c>
      <c r="AB337" s="3">
        <f t="shared" si="28"/>
        <v>9021.9499999999989</v>
      </c>
      <c r="AC337" s="3">
        <f t="shared" si="29"/>
        <v>16219.34496</v>
      </c>
    </row>
    <row r="338" spans="1:29" x14ac:dyDescent="0.35">
      <c r="A338" s="3" t="s">
        <v>350</v>
      </c>
      <c r="B338" s="4">
        <v>45484</v>
      </c>
      <c r="C338" s="4">
        <v>45504</v>
      </c>
      <c r="D338" s="5">
        <v>20</v>
      </c>
      <c r="E338" s="3" t="s">
        <v>647</v>
      </c>
      <c r="F338" s="3" t="s">
        <v>659</v>
      </c>
      <c r="G338" s="3" t="s">
        <v>676</v>
      </c>
      <c r="H338" s="3" t="s">
        <v>704</v>
      </c>
      <c r="I338" s="3" t="s">
        <v>708</v>
      </c>
      <c r="J338" s="3" t="s">
        <v>715</v>
      </c>
      <c r="K338" s="3" t="s">
        <v>730</v>
      </c>
      <c r="L338" s="3" t="s">
        <v>1070</v>
      </c>
      <c r="M338" s="3">
        <v>647.26</v>
      </c>
      <c r="N338" s="3">
        <v>1374.72</v>
      </c>
      <c r="O338" s="3">
        <v>6.6000000000000003E-2</v>
      </c>
      <c r="P338" s="3">
        <v>22</v>
      </c>
      <c r="Q338" s="3">
        <v>28247.74656</v>
      </c>
      <c r="R338" s="3">
        <f t="shared" si="25"/>
        <v>14239.72</v>
      </c>
      <c r="S338" s="3">
        <v>14008.02656</v>
      </c>
      <c r="T338" s="3">
        <f t="shared" si="26"/>
        <v>0.49589890401508901</v>
      </c>
      <c r="U338" s="3" t="str">
        <f t="shared" si="27"/>
        <v>Jul-2024</v>
      </c>
      <c r="AB338" s="3">
        <f t="shared" si="28"/>
        <v>14239.72</v>
      </c>
      <c r="AC338" s="3">
        <f t="shared" si="29"/>
        <v>28247.74656</v>
      </c>
    </row>
    <row r="339" spans="1:29" x14ac:dyDescent="0.35">
      <c r="A339" s="3" t="s">
        <v>351</v>
      </c>
      <c r="B339" s="4">
        <v>45340</v>
      </c>
      <c r="C339" s="4">
        <v>45354</v>
      </c>
      <c r="D339" s="5">
        <v>14</v>
      </c>
      <c r="E339" s="3" t="s">
        <v>648</v>
      </c>
      <c r="F339" s="3" t="s">
        <v>655</v>
      </c>
      <c r="G339" s="3" t="s">
        <v>1422</v>
      </c>
      <c r="H339" s="3" t="s">
        <v>706</v>
      </c>
      <c r="I339" s="3" t="s">
        <v>710</v>
      </c>
      <c r="J339" s="3" t="s">
        <v>720</v>
      </c>
      <c r="K339" s="3" t="s">
        <v>728</v>
      </c>
      <c r="L339" s="3" t="s">
        <v>1071</v>
      </c>
      <c r="M339" s="3">
        <v>624.23</v>
      </c>
      <c r="N339" s="3">
        <v>1318.37</v>
      </c>
      <c r="O339" s="3">
        <v>0.21</v>
      </c>
      <c r="P339" s="3">
        <v>37</v>
      </c>
      <c r="Q339" s="3">
        <v>38535.955099999999</v>
      </c>
      <c r="R339" s="3">
        <f t="shared" si="25"/>
        <v>23096.510000000002</v>
      </c>
      <c r="S339" s="3">
        <v>15439.445099999997</v>
      </c>
      <c r="T339" s="3">
        <f t="shared" si="26"/>
        <v>0.40065038118128793</v>
      </c>
      <c r="U339" s="3" t="str">
        <f t="shared" si="27"/>
        <v>Feb-2024</v>
      </c>
      <c r="AB339" s="3">
        <f t="shared" si="28"/>
        <v>23096.510000000002</v>
      </c>
      <c r="AC339" s="3">
        <f t="shared" si="29"/>
        <v>39023.752</v>
      </c>
    </row>
    <row r="340" spans="1:29" x14ac:dyDescent="0.35">
      <c r="A340" s="3" t="s">
        <v>352</v>
      </c>
      <c r="B340" s="4">
        <v>45132</v>
      </c>
      <c r="C340" s="4">
        <v>45148</v>
      </c>
      <c r="D340" s="5">
        <v>16</v>
      </c>
      <c r="E340" s="3" t="s">
        <v>646</v>
      </c>
      <c r="F340" s="3" t="s">
        <v>651</v>
      </c>
      <c r="G340" s="3" t="s">
        <v>663</v>
      </c>
      <c r="H340" s="3" t="s">
        <v>701</v>
      </c>
      <c r="I340" s="3" t="s">
        <v>710</v>
      </c>
      <c r="J340" s="3" t="s">
        <v>714</v>
      </c>
      <c r="K340" s="3" t="s">
        <v>733</v>
      </c>
      <c r="L340" s="3" t="s">
        <v>1072</v>
      </c>
      <c r="M340" s="3">
        <v>506.83</v>
      </c>
      <c r="N340" s="3">
        <v>441.74</v>
      </c>
      <c r="O340" s="3">
        <v>0.24</v>
      </c>
      <c r="P340" s="3">
        <v>9</v>
      </c>
      <c r="Q340" s="3">
        <v>3021.5016000000001</v>
      </c>
      <c r="R340" s="3">
        <f t="shared" si="25"/>
        <v>4561.47</v>
      </c>
      <c r="S340" s="3">
        <v>1539.9684000000002</v>
      </c>
      <c r="T340" s="3">
        <f t="shared" si="26"/>
        <v>0.50966989393618067</v>
      </c>
      <c r="U340" s="3" t="str">
        <f t="shared" si="27"/>
        <v>Jul-2023</v>
      </c>
      <c r="AB340" s="3">
        <f t="shared" si="28"/>
        <v>4561.47</v>
      </c>
      <c r="AC340" s="3">
        <f t="shared" si="29"/>
        <v>3180.5280000000002</v>
      </c>
    </row>
    <row r="341" spans="1:29" x14ac:dyDescent="0.35">
      <c r="A341" s="3" t="s">
        <v>353</v>
      </c>
      <c r="B341" s="4">
        <v>45121</v>
      </c>
      <c r="C341" s="4">
        <v>45128</v>
      </c>
      <c r="D341" s="5">
        <v>7</v>
      </c>
      <c r="E341" s="3" t="s">
        <v>646</v>
      </c>
      <c r="F341" s="3" t="s">
        <v>661</v>
      </c>
      <c r="G341" s="3" t="s">
        <v>687</v>
      </c>
      <c r="H341" s="3" t="s">
        <v>706</v>
      </c>
      <c r="I341" s="3" t="s">
        <v>709</v>
      </c>
      <c r="J341" s="3" t="s">
        <v>1422</v>
      </c>
      <c r="K341" s="3" t="s">
        <v>732</v>
      </c>
      <c r="L341" s="3" t="s">
        <v>1073</v>
      </c>
      <c r="M341" s="3">
        <v>620.74</v>
      </c>
      <c r="N341" s="3">
        <v>1330.07</v>
      </c>
      <c r="O341" s="3">
        <v>0.29899999999999999</v>
      </c>
      <c r="P341" s="3">
        <v>28</v>
      </c>
      <c r="Q341" s="3">
        <v>26106.613960000002</v>
      </c>
      <c r="R341" s="3">
        <f t="shared" si="25"/>
        <v>17380.72</v>
      </c>
      <c r="S341" s="3">
        <v>8725.8939600000012</v>
      </c>
      <c r="T341" s="3">
        <f t="shared" si="26"/>
        <v>0.33424073965967516</v>
      </c>
      <c r="U341" s="3" t="str">
        <f t="shared" si="27"/>
        <v>Jul-2023</v>
      </c>
      <c r="AB341" s="3">
        <f t="shared" si="28"/>
        <v>17380.72</v>
      </c>
      <c r="AC341" s="3">
        <f t="shared" si="29"/>
        <v>29793.567999999999</v>
      </c>
    </row>
    <row r="342" spans="1:29" x14ac:dyDescent="0.35">
      <c r="A342" s="3" t="s">
        <v>354</v>
      </c>
      <c r="B342" s="4">
        <v>45131</v>
      </c>
      <c r="C342" s="4">
        <v>45157</v>
      </c>
      <c r="D342" s="5">
        <v>26</v>
      </c>
      <c r="E342" s="3" t="s">
        <v>646</v>
      </c>
      <c r="F342" s="3" t="s">
        <v>650</v>
      </c>
      <c r="G342" s="3" t="s">
        <v>664</v>
      </c>
      <c r="H342" s="3" t="s">
        <v>706</v>
      </c>
      <c r="I342" s="3" t="s">
        <v>710</v>
      </c>
      <c r="J342" s="3" t="s">
        <v>724</v>
      </c>
      <c r="K342" s="3" t="s">
        <v>733</v>
      </c>
      <c r="L342" s="3" t="s">
        <v>1074</v>
      </c>
      <c r="M342" s="3">
        <v>661.45</v>
      </c>
      <c r="N342" s="3">
        <v>1634.86</v>
      </c>
      <c r="O342" s="3">
        <v>0.56499999999999995</v>
      </c>
      <c r="P342" s="3">
        <v>24</v>
      </c>
      <c r="Q342" s="3">
        <v>17067.938400000003</v>
      </c>
      <c r="R342" s="3">
        <f t="shared" si="25"/>
        <v>15874.800000000001</v>
      </c>
      <c r="S342" s="3">
        <v>1193.1384000000016</v>
      </c>
      <c r="T342" s="3">
        <f t="shared" si="26"/>
        <v>6.9905244092045793E-2</v>
      </c>
      <c r="U342" s="3" t="str">
        <f t="shared" si="27"/>
        <v>Jul-2023</v>
      </c>
      <c r="AB342" s="3">
        <f t="shared" si="28"/>
        <v>15874.800000000001</v>
      </c>
      <c r="AC342" s="3">
        <f t="shared" si="29"/>
        <v>31389.312000000002</v>
      </c>
    </row>
    <row r="343" spans="1:29" x14ac:dyDescent="0.35">
      <c r="A343" s="3" t="s">
        <v>355</v>
      </c>
      <c r="B343" s="4">
        <v>45029</v>
      </c>
      <c r="C343" s="4">
        <v>45027</v>
      </c>
      <c r="D343" s="5">
        <v>2</v>
      </c>
      <c r="E343" s="3" t="s">
        <v>648</v>
      </c>
      <c r="F343" s="3" t="s">
        <v>660</v>
      </c>
      <c r="G343" s="3" t="s">
        <v>686</v>
      </c>
      <c r="H343" s="3" t="s">
        <v>702</v>
      </c>
      <c r="I343" s="3" t="s">
        <v>709</v>
      </c>
      <c r="J343" s="3" t="s">
        <v>715</v>
      </c>
      <c r="K343" s="3" t="s">
        <v>729</v>
      </c>
      <c r="L343" s="3" t="s">
        <v>1075</v>
      </c>
      <c r="M343" s="3">
        <v>32.1</v>
      </c>
      <c r="N343" s="3">
        <v>70.599999999999994</v>
      </c>
      <c r="O343" s="3">
        <v>0.28199999999999997</v>
      </c>
      <c r="P343" s="3">
        <v>22</v>
      </c>
      <c r="Q343" s="3">
        <v>1115.1975999999997</v>
      </c>
      <c r="R343" s="3">
        <f t="shared" si="25"/>
        <v>706.2</v>
      </c>
      <c r="S343" s="3">
        <v>408.99759999999969</v>
      </c>
      <c r="T343" s="3">
        <f t="shared" si="26"/>
        <v>0.36674899587301818</v>
      </c>
      <c r="U343" s="3" t="str">
        <f t="shared" si="27"/>
        <v>Apr-2023</v>
      </c>
      <c r="AB343" s="3">
        <f t="shared" si="28"/>
        <v>706.2</v>
      </c>
      <c r="AC343" s="3">
        <f t="shared" si="29"/>
        <v>1242.56</v>
      </c>
    </row>
    <row r="344" spans="1:29" x14ac:dyDescent="0.35">
      <c r="A344" s="3" t="s">
        <v>356</v>
      </c>
      <c r="B344" s="4">
        <v>45594</v>
      </c>
      <c r="C344" s="4">
        <v>45600</v>
      </c>
      <c r="D344" s="5">
        <v>6</v>
      </c>
      <c r="E344" s="3" t="s">
        <v>646</v>
      </c>
      <c r="F344" s="3" t="s">
        <v>650</v>
      </c>
      <c r="G344" s="3" t="s">
        <v>664</v>
      </c>
      <c r="H344" s="3" t="s">
        <v>701</v>
      </c>
      <c r="I344" s="3" t="s">
        <v>710</v>
      </c>
      <c r="J344" s="3" t="s">
        <v>724</v>
      </c>
      <c r="K344" s="3" t="s">
        <v>728</v>
      </c>
      <c r="L344" s="3" t="s">
        <v>1076</v>
      </c>
      <c r="M344" s="3">
        <v>805.81</v>
      </c>
      <c r="N344" s="3">
        <v>1823.04</v>
      </c>
      <c r="O344" s="3">
        <v>0</v>
      </c>
      <c r="P344" s="3">
        <v>11</v>
      </c>
      <c r="Q344" s="3">
        <v>20053.439999999999</v>
      </c>
      <c r="R344" s="3">
        <f t="shared" si="25"/>
        <v>8863.91</v>
      </c>
      <c r="S344" s="3">
        <v>11189.529999999999</v>
      </c>
      <c r="T344" s="3">
        <f t="shared" si="26"/>
        <v>0.55798556257679477</v>
      </c>
      <c r="U344" s="3" t="str">
        <f t="shared" si="27"/>
        <v>Oct-2024</v>
      </c>
      <c r="AB344" s="3">
        <f t="shared" si="28"/>
        <v>8863.91</v>
      </c>
      <c r="AC344" s="3">
        <f t="shared" si="29"/>
        <v>20053.439999999999</v>
      </c>
    </row>
    <row r="345" spans="1:29" x14ac:dyDescent="0.35">
      <c r="A345" s="3" t="s">
        <v>357</v>
      </c>
      <c r="B345" s="4">
        <v>45339</v>
      </c>
      <c r="C345" s="4">
        <v>45355</v>
      </c>
      <c r="D345" s="5">
        <v>16</v>
      </c>
      <c r="E345" s="3" t="s">
        <v>647</v>
      </c>
      <c r="F345" s="3" t="s">
        <v>654</v>
      </c>
      <c r="G345" s="3" t="s">
        <v>680</v>
      </c>
      <c r="H345" s="3" t="s">
        <v>705</v>
      </c>
      <c r="I345" s="3" t="s">
        <v>709</v>
      </c>
      <c r="J345" s="3" t="s">
        <v>721</v>
      </c>
      <c r="K345" s="3" t="s">
        <v>730</v>
      </c>
      <c r="L345" s="3" t="s">
        <v>1077</v>
      </c>
      <c r="M345" s="3">
        <v>1231.8</v>
      </c>
      <c r="N345" s="3">
        <v>2015.99</v>
      </c>
      <c r="O345" s="3">
        <v>0.26100000000000001</v>
      </c>
      <c r="P345" s="3">
        <v>6</v>
      </c>
      <c r="Q345" s="3">
        <v>8938.8996600000009</v>
      </c>
      <c r="R345" s="3">
        <f t="shared" si="25"/>
        <v>7390.7999999999993</v>
      </c>
      <c r="S345" s="3">
        <v>1548.0996600000017</v>
      </c>
      <c r="T345" s="3">
        <f t="shared" si="26"/>
        <v>0.17318682599464391</v>
      </c>
      <c r="U345" s="3" t="str">
        <f t="shared" si="27"/>
        <v>Feb-2024</v>
      </c>
      <c r="AB345" s="3">
        <f t="shared" si="28"/>
        <v>7390.7999999999993</v>
      </c>
      <c r="AC345" s="3">
        <f t="shared" si="29"/>
        <v>9676.7520000000004</v>
      </c>
    </row>
    <row r="346" spans="1:29" x14ac:dyDescent="0.35">
      <c r="A346" s="3" t="s">
        <v>358</v>
      </c>
      <c r="B346" s="4">
        <v>45486</v>
      </c>
      <c r="C346" s="4">
        <v>45485</v>
      </c>
      <c r="D346" s="5">
        <v>1</v>
      </c>
      <c r="E346" s="3" t="s">
        <v>647</v>
      </c>
      <c r="F346" s="3" t="s">
        <v>652</v>
      </c>
      <c r="G346" s="3" t="s">
        <v>694</v>
      </c>
      <c r="H346" s="3" t="s">
        <v>705</v>
      </c>
      <c r="I346" s="3" t="s">
        <v>709</v>
      </c>
      <c r="J346" s="3" t="s">
        <v>721</v>
      </c>
      <c r="K346" s="3" t="s">
        <v>729</v>
      </c>
      <c r="L346" s="3" t="s">
        <v>1078</v>
      </c>
      <c r="M346" s="3">
        <v>105.13</v>
      </c>
      <c r="N346" s="3">
        <v>244.13</v>
      </c>
      <c r="O346" s="3">
        <v>7.0999999999999994E-2</v>
      </c>
      <c r="P346" s="3">
        <v>14</v>
      </c>
      <c r="Q346" s="3">
        <v>3175.1547799999998</v>
      </c>
      <c r="R346" s="3">
        <f t="shared" si="25"/>
        <v>1471.82</v>
      </c>
      <c r="S346" s="3">
        <v>1703.3347799999999</v>
      </c>
      <c r="T346" s="3">
        <f t="shared" si="26"/>
        <v>0.53645724319618837</v>
      </c>
      <c r="U346" s="3" t="str">
        <f t="shared" si="27"/>
        <v>Jul-2024</v>
      </c>
      <c r="AB346" s="3">
        <f t="shared" si="28"/>
        <v>1471.82</v>
      </c>
      <c r="AC346" s="3">
        <f t="shared" si="29"/>
        <v>3175.1547799999998</v>
      </c>
    </row>
    <row r="347" spans="1:29" x14ac:dyDescent="0.35">
      <c r="A347" s="3" t="s">
        <v>359</v>
      </c>
      <c r="B347" s="4">
        <v>45261</v>
      </c>
      <c r="C347" s="4">
        <v>45278</v>
      </c>
      <c r="D347" s="5">
        <v>17</v>
      </c>
      <c r="E347" s="3" t="s">
        <v>647</v>
      </c>
      <c r="F347" s="3" t="s">
        <v>652</v>
      </c>
      <c r="G347" s="3" t="s">
        <v>694</v>
      </c>
      <c r="H347" s="3" t="s">
        <v>705</v>
      </c>
      <c r="I347" s="3" t="s">
        <v>711</v>
      </c>
      <c r="J347" s="3" t="s">
        <v>725</v>
      </c>
      <c r="K347" s="3" t="s">
        <v>731</v>
      </c>
      <c r="L347" s="3" t="s">
        <v>1079</v>
      </c>
      <c r="M347" s="3">
        <v>1495.79</v>
      </c>
      <c r="N347" s="3">
        <v>2783.12</v>
      </c>
      <c r="O347" s="3">
        <v>0.02</v>
      </c>
      <c r="P347" s="3">
        <v>5</v>
      </c>
      <c r="Q347" s="3">
        <v>13637.287999999999</v>
      </c>
      <c r="R347" s="3">
        <f t="shared" si="25"/>
        <v>7478.95</v>
      </c>
      <c r="S347" s="3">
        <v>6158.3379999999988</v>
      </c>
      <c r="T347" s="3">
        <f t="shared" si="26"/>
        <v>0.45158084217331185</v>
      </c>
      <c r="U347" s="3" t="str">
        <f t="shared" si="27"/>
        <v>Dec-2023</v>
      </c>
      <c r="AB347" s="3">
        <f t="shared" si="28"/>
        <v>7478.95</v>
      </c>
      <c r="AC347" s="3">
        <f t="shared" si="29"/>
        <v>13637.287999999999</v>
      </c>
    </row>
    <row r="348" spans="1:29" x14ac:dyDescent="0.35">
      <c r="A348" s="3" t="s">
        <v>360</v>
      </c>
      <c r="B348" s="4">
        <v>45498</v>
      </c>
      <c r="C348" s="4">
        <v>45506</v>
      </c>
      <c r="D348" s="5">
        <v>8</v>
      </c>
      <c r="E348" s="3" t="s">
        <v>648</v>
      </c>
      <c r="F348" s="3" t="s">
        <v>653</v>
      </c>
      <c r="G348" s="3" t="s">
        <v>681</v>
      </c>
      <c r="H348" s="3" t="s">
        <v>704</v>
      </c>
      <c r="I348" s="3" t="s">
        <v>711</v>
      </c>
      <c r="J348" s="3" t="s">
        <v>713</v>
      </c>
      <c r="K348" s="3" t="s">
        <v>733</v>
      </c>
      <c r="L348" s="3" t="s">
        <v>1080</v>
      </c>
      <c r="M348" s="3">
        <v>986.81</v>
      </c>
      <c r="N348" s="3">
        <v>2050.31</v>
      </c>
      <c r="O348" s="3">
        <v>0.10299999999999999</v>
      </c>
      <c r="P348" s="3">
        <v>43</v>
      </c>
      <c r="Q348" s="3">
        <v>79082.507010000001</v>
      </c>
      <c r="R348" s="3">
        <f t="shared" si="25"/>
        <v>42432.829999999994</v>
      </c>
      <c r="S348" s="3">
        <v>36649.677010000007</v>
      </c>
      <c r="T348" s="3">
        <f t="shared" si="26"/>
        <v>0.46343595310358138</v>
      </c>
      <c r="U348" s="3" t="str">
        <f t="shared" si="27"/>
        <v>Jul-2024</v>
      </c>
      <c r="AB348" s="3">
        <f t="shared" si="28"/>
        <v>42432.829999999994</v>
      </c>
      <c r="AC348" s="3">
        <f t="shared" si="29"/>
        <v>79082.507010000001</v>
      </c>
    </row>
    <row r="349" spans="1:29" x14ac:dyDescent="0.35">
      <c r="A349" s="3" t="s">
        <v>361</v>
      </c>
      <c r="B349" s="4">
        <v>45050</v>
      </c>
      <c r="C349" s="4">
        <v>45062</v>
      </c>
      <c r="D349" s="5">
        <v>12</v>
      </c>
      <c r="E349" s="3" t="s">
        <v>646</v>
      </c>
      <c r="F349" s="3" t="s">
        <v>651</v>
      </c>
      <c r="G349" s="3" t="s">
        <v>669</v>
      </c>
      <c r="H349" s="3" t="s">
        <v>705</v>
      </c>
      <c r="I349" s="3" t="s">
        <v>709</v>
      </c>
      <c r="J349" s="3" t="s">
        <v>713</v>
      </c>
      <c r="K349" s="3" t="s">
        <v>730</v>
      </c>
      <c r="L349" s="3" t="s">
        <v>1081</v>
      </c>
      <c r="M349" s="3">
        <v>77.739999999999995</v>
      </c>
      <c r="N349" s="3">
        <v>147.12</v>
      </c>
      <c r="O349" s="3">
        <v>0</v>
      </c>
      <c r="P349" s="3">
        <v>15</v>
      </c>
      <c r="Q349" s="3">
        <v>2206.8000000000002</v>
      </c>
      <c r="R349" s="3">
        <f t="shared" si="25"/>
        <v>1166.0999999999999</v>
      </c>
      <c r="S349" s="3">
        <v>1040.7000000000003</v>
      </c>
      <c r="T349" s="3">
        <f t="shared" si="26"/>
        <v>0.47158781946710177</v>
      </c>
      <c r="U349" s="3" t="str">
        <f t="shared" si="27"/>
        <v>May-2023</v>
      </c>
      <c r="AB349" s="3">
        <f t="shared" si="28"/>
        <v>1166.0999999999999</v>
      </c>
      <c r="AC349" s="3">
        <f t="shared" si="29"/>
        <v>2206.8000000000002</v>
      </c>
    </row>
    <row r="350" spans="1:29" x14ac:dyDescent="0.35">
      <c r="A350" s="3" t="s">
        <v>362</v>
      </c>
      <c r="B350" s="4">
        <v>45281</v>
      </c>
      <c r="C350" s="4">
        <v>45297</v>
      </c>
      <c r="D350" s="5">
        <v>16</v>
      </c>
      <c r="E350" s="3" t="s">
        <v>646</v>
      </c>
      <c r="F350" s="3" t="s">
        <v>651</v>
      </c>
      <c r="G350" s="3" t="s">
        <v>1422</v>
      </c>
      <c r="H350" s="3" t="s">
        <v>701</v>
      </c>
      <c r="I350" s="3" t="s">
        <v>709</v>
      </c>
      <c r="J350" s="3" t="s">
        <v>723</v>
      </c>
      <c r="K350" s="3" t="s">
        <v>727</v>
      </c>
      <c r="L350" s="3" t="s">
        <v>1082</v>
      </c>
      <c r="M350" s="3">
        <v>932.61</v>
      </c>
      <c r="N350" s="3">
        <v>1982.98</v>
      </c>
      <c r="O350" s="3">
        <v>0.14399999999999999</v>
      </c>
      <c r="P350" s="3">
        <v>16</v>
      </c>
      <c r="Q350" s="3">
        <v>27158.894079999998</v>
      </c>
      <c r="R350" s="3">
        <f t="shared" si="25"/>
        <v>14921.76</v>
      </c>
      <c r="S350" s="3">
        <v>12237.134079999998</v>
      </c>
      <c r="T350" s="3">
        <f t="shared" si="26"/>
        <v>0.45057556629345635</v>
      </c>
      <c r="U350" s="3" t="str">
        <f t="shared" si="27"/>
        <v>Dec-2023</v>
      </c>
      <c r="AB350" s="3">
        <f t="shared" si="28"/>
        <v>14921.76</v>
      </c>
      <c r="AC350" s="3">
        <f t="shared" si="29"/>
        <v>27158.894079999998</v>
      </c>
    </row>
    <row r="351" spans="1:29" x14ac:dyDescent="0.35">
      <c r="A351" s="3" t="s">
        <v>363</v>
      </c>
      <c r="B351" s="4">
        <v>45825</v>
      </c>
      <c r="C351" s="4">
        <v>45843</v>
      </c>
      <c r="D351" s="5">
        <v>18</v>
      </c>
      <c r="E351" s="3" t="s">
        <v>647</v>
      </c>
      <c r="F351" s="3" t="s">
        <v>654</v>
      </c>
      <c r="G351" s="3" t="s">
        <v>680</v>
      </c>
      <c r="H351" s="3" t="s">
        <v>704</v>
      </c>
      <c r="I351" s="3" t="s">
        <v>709</v>
      </c>
      <c r="J351" s="3" t="s">
        <v>716</v>
      </c>
      <c r="K351" s="3" t="s">
        <v>731</v>
      </c>
      <c r="L351" s="3" t="s">
        <v>1083</v>
      </c>
      <c r="M351" s="3">
        <v>982.93</v>
      </c>
      <c r="N351" s="3">
        <v>2299.3000000000002</v>
      </c>
      <c r="O351" s="3">
        <v>0.113</v>
      </c>
      <c r="P351" s="3">
        <v>6</v>
      </c>
      <c r="Q351" s="3">
        <v>12236.874600000001</v>
      </c>
      <c r="R351" s="3">
        <f t="shared" si="25"/>
        <v>5897.58</v>
      </c>
      <c r="S351" s="3">
        <v>6339.2946000000011</v>
      </c>
      <c r="T351" s="3">
        <f t="shared" si="26"/>
        <v>0.51804850562087157</v>
      </c>
      <c r="U351" s="3" t="str">
        <f t="shared" si="27"/>
        <v>Jun-2025</v>
      </c>
      <c r="AB351" s="3">
        <f t="shared" si="28"/>
        <v>5897.58</v>
      </c>
      <c r="AC351" s="3">
        <f t="shared" si="29"/>
        <v>12236.874600000001</v>
      </c>
    </row>
    <row r="352" spans="1:29" x14ac:dyDescent="0.35">
      <c r="A352" s="3" t="s">
        <v>364</v>
      </c>
      <c r="B352" s="4">
        <v>44980</v>
      </c>
      <c r="C352" s="4">
        <v>44993</v>
      </c>
      <c r="D352" s="5">
        <v>13</v>
      </c>
      <c r="E352" s="3" t="s">
        <v>649</v>
      </c>
      <c r="F352" s="3" t="s">
        <v>658</v>
      </c>
      <c r="G352" s="3" t="s">
        <v>693</v>
      </c>
      <c r="H352" s="3" t="s">
        <v>705</v>
      </c>
      <c r="I352" s="3" t="s">
        <v>711</v>
      </c>
      <c r="J352" s="3" t="s">
        <v>712</v>
      </c>
      <c r="K352" s="3" t="s">
        <v>728</v>
      </c>
      <c r="L352" s="3" t="s">
        <v>1084</v>
      </c>
      <c r="M352" s="3">
        <v>307.37</v>
      </c>
      <c r="N352" s="3">
        <v>462.61</v>
      </c>
      <c r="O352" s="3">
        <v>0.188</v>
      </c>
      <c r="P352" s="3">
        <v>11</v>
      </c>
      <c r="Q352" s="3">
        <v>4132.0325200000007</v>
      </c>
      <c r="R352" s="3">
        <f t="shared" si="25"/>
        <v>3381.07</v>
      </c>
      <c r="S352" s="3">
        <v>750.9625200000005</v>
      </c>
      <c r="T352" s="3">
        <f t="shared" si="26"/>
        <v>0.18174167709599739</v>
      </c>
      <c r="U352" s="3" t="str">
        <f t="shared" si="27"/>
        <v>Feb-2023</v>
      </c>
      <c r="AB352" s="3">
        <f t="shared" si="28"/>
        <v>3381.07</v>
      </c>
      <c r="AC352" s="3">
        <f t="shared" si="29"/>
        <v>4132.0325200000007</v>
      </c>
    </row>
    <row r="353" spans="1:29" x14ac:dyDescent="0.35">
      <c r="A353" s="3" t="s">
        <v>365</v>
      </c>
      <c r="B353" s="4">
        <v>45262</v>
      </c>
      <c r="C353" s="4">
        <v>45276</v>
      </c>
      <c r="D353" s="5">
        <v>14</v>
      </c>
      <c r="E353" s="3" t="s">
        <v>649</v>
      </c>
      <c r="F353" s="3" t="s">
        <v>656</v>
      </c>
      <c r="G353" s="3" t="s">
        <v>698</v>
      </c>
      <c r="H353" s="3" t="s">
        <v>702</v>
      </c>
      <c r="I353" s="3" t="s">
        <v>711</v>
      </c>
      <c r="J353" s="3" t="s">
        <v>725</v>
      </c>
      <c r="K353" s="3" t="s">
        <v>732</v>
      </c>
      <c r="L353" s="3" t="s">
        <v>1085</v>
      </c>
      <c r="M353" s="3">
        <v>879.08</v>
      </c>
      <c r="N353" s="3">
        <v>1093.3900000000001</v>
      </c>
      <c r="O353" s="3">
        <v>0.113</v>
      </c>
      <c r="P353" s="3">
        <v>17</v>
      </c>
      <c r="Q353" s="3">
        <v>16487.22781</v>
      </c>
      <c r="R353" s="3">
        <f t="shared" si="25"/>
        <v>14944.36</v>
      </c>
      <c r="S353" s="3">
        <v>1542.8678099999997</v>
      </c>
      <c r="T353" s="3">
        <f t="shared" si="26"/>
        <v>9.3579577341935186E-2</v>
      </c>
      <c r="U353" s="3" t="str">
        <f t="shared" si="27"/>
        <v>Dec-2023</v>
      </c>
      <c r="AB353" s="3">
        <f t="shared" si="28"/>
        <v>14944.36</v>
      </c>
      <c r="AC353" s="3">
        <f t="shared" si="29"/>
        <v>16487.22781</v>
      </c>
    </row>
    <row r="354" spans="1:29" x14ac:dyDescent="0.35">
      <c r="A354" s="3" t="s">
        <v>366</v>
      </c>
      <c r="B354" s="4">
        <v>45121</v>
      </c>
      <c r="C354" s="4">
        <v>45121</v>
      </c>
      <c r="D354" s="5">
        <v>0</v>
      </c>
      <c r="E354" s="3" t="s">
        <v>646</v>
      </c>
      <c r="F354" s="3" t="s">
        <v>651</v>
      </c>
      <c r="G354" s="3" t="s">
        <v>665</v>
      </c>
      <c r="H354" s="3" t="s">
        <v>702</v>
      </c>
      <c r="I354" s="3" t="s">
        <v>707</v>
      </c>
      <c r="J354" s="3" t="s">
        <v>714</v>
      </c>
      <c r="K354" s="3" t="s">
        <v>733</v>
      </c>
      <c r="L354" s="3" t="s">
        <v>1086</v>
      </c>
      <c r="M354" s="3">
        <v>956.38</v>
      </c>
      <c r="N354" s="3">
        <v>1454.22</v>
      </c>
      <c r="O354" s="3">
        <v>3.9E-2</v>
      </c>
      <c r="P354" s="3">
        <v>19</v>
      </c>
      <c r="Q354" s="3">
        <v>26552.60298</v>
      </c>
      <c r="R354" s="3">
        <f t="shared" si="25"/>
        <v>18171.22</v>
      </c>
      <c r="S354" s="3">
        <v>8381.3829799999985</v>
      </c>
      <c r="T354" s="3">
        <f t="shared" si="26"/>
        <v>0.31565202802576603</v>
      </c>
      <c r="U354" s="3" t="str">
        <f t="shared" si="27"/>
        <v>Jul-2023</v>
      </c>
      <c r="AB354" s="3">
        <f t="shared" si="28"/>
        <v>18171.22</v>
      </c>
      <c r="AC354" s="3">
        <f t="shared" si="29"/>
        <v>26552.60298</v>
      </c>
    </row>
    <row r="355" spans="1:29" x14ac:dyDescent="0.35">
      <c r="A355" s="3" t="s">
        <v>367</v>
      </c>
      <c r="B355" s="4">
        <v>45512</v>
      </c>
      <c r="C355" s="4">
        <v>45524</v>
      </c>
      <c r="D355" s="5">
        <v>12</v>
      </c>
      <c r="E355" s="3" t="s">
        <v>647</v>
      </c>
      <c r="F355" s="3" t="s">
        <v>652</v>
      </c>
      <c r="G355" s="3" t="s">
        <v>666</v>
      </c>
      <c r="H355" s="3" t="s">
        <v>705</v>
      </c>
      <c r="I355" s="3" t="s">
        <v>707</v>
      </c>
      <c r="J355" s="3" t="s">
        <v>722</v>
      </c>
      <c r="K355" s="3" t="s">
        <v>729</v>
      </c>
      <c r="L355" s="3" t="s">
        <v>1087</v>
      </c>
      <c r="M355" s="3">
        <v>1233.3599999999999</v>
      </c>
      <c r="N355" s="3">
        <v>2120.4</v>
      </c>
      <c r="O355" s="3">
        <v>0.17899999999999999</v>
      </c>
      <c r="P355" s="3">
        <v>20</v>
      </c>
      <c r="Q355" s="3">
        <v>34816.968000000001</v>
      </c>
      <c r="R355" s="3">
        <f t="shared" si="25"/>
        <v>24667.199999999997</v>
      </c>
      <c r="S355" s="3">
        <v>10149.768000000004</v>
      </c>
      <c r="T355" s="3">
        <f t="shared" si="26"/>
        <v>0.29151785991244278</v>
      </c>
      <c r="U355" s="3" t="str">
        <f t="shared" si="27"/>
        <v>Aug-2024</v>
      </c>
      <c r="AB355" s="3">
        <f t="shared" si="28"/>
        <v>24667.199999999997</v>
      </c>
      <c r="AC355" s="3">
        <f t="shared" si="29"/>
        <v>34816.968000000001</v>
      </c>
    </row>
    <row r="356" spans="1:29" x14ac:dyDescent="0.35">
      <c r="A356" s="3" t="s">
        <v>368</v>
      </c>
      <c r="B356" s="4">
        <v>45603</v>
      </c>
      <c r="C356" s="4">
        <v>45622</v>
      </c>
      <c r="D356" s="5">
        <v>19</v>
      </c>
      <c r="E356" s="3" t="s">
        <v>648</v>
      </c>
      <c r="F356" s="3" t="s">
        <v>655</v>
      </c>
      <c r="G356" s="3" t="s">
        <v>692</v>
      </c>
      <c r="H356" s="3" t="s">
        <v>703</v>
      </c>
      <c r="I356" s="3" t="s">
        <v>710</v>
      </c>
      <c r="J356" s="3" t="s">
        <v>713</v>
      </c>
      <c r="K356" s="3" t="s">
        <v>728</v>
      </c>
      <c r="L356" s="3" t="s">
        <v>1088</v>
      </c>
      <c r="M356" s="3">
        <v>55.35</v>
      </c>
      <c r="N356" s="3">
        <v>128.68</v>
      </c>
      <c r="O356" s="3">
        <v>0.128</v>
      </c>
      <c r="P356" s="3">
        <v>10</v>
      </c>
      <c r="Q356" s="3">
        <v>1122.0896000000002</v>
      </c>
      <c r="R356" s="3">
        <f t="shared" si="25"/>
        <v>553.5</v>
      </c>
      <c r="S356" s="3">
        <v>568.58960000000025</v>
      </c>
      <c r="T356" s="3">
        <f t="shared" si="26"/>
        <v>0.50672388372550647</v>
      </c>
      <c r="U356" s="3" t="str">
        <f t="shared" si="27"/>
        <v>Nov-2024</v>
      </c>
      <c r="AB356" s="3">
        <f t="shared" si="28"/>
        <v>553.5</v>
      </c>
      <c r="AC356" s="3">
        <f t="shared" si="29"/>
        <v>1122.0896000000002</v>
      </c>
    </row>
    <row r="357" spans="1:29" x14ac:dyDescent="0.35">
      <c r="A357" s="3" t="s">
        <v>369</v>
      </c>
      <c r="B357" s="4">
        <v>45292</v>
      </c>
      <c r="C357" s="4">
        <v>45318</v>
      </c>
      <c r="D357" s="5">
        <v>26</v>
      </c>
      <c r="E357" s="3" t="s">
        <v>649</v>
      </c>
      <c r="F357" s="3" t="s">
        <v>658</v>
      </c>
      <c r="G357" s="3" t="s">
        <v>693</v>
      </c>
      <c r="H357" s="3" t="s">
        <v>702</v>
      </c>
      <c r="I357" s="3" t="s">
        <v>710</v>
      </c>
      <c r="J357" s="3" t="s">
        <v>726</v>
      </c>
      <c r="K357" s="3" t="s">
        <v>733</v>
      </c>
      <c r="L357" s="3" t="s">
        <v>1089</v>
      </c>
      <c r="M357" s="3">
        <v>657.45</v>
      </c>
      <c r="N357" s="3">
        <v>1325.96</v>
      </c>
      <c r="O357" s="3">
        <v>0.16700000000000001</v>
      </c>
      <c r="P357" s="3">
        <v>21</v>
      </c>
      <c r="Q357" s="3">
        <v>23195.01828</v>
      </c>
      <c r="R357" s="3">
        <f t="shared" si="25"/>
        <v>13806.45</v>
      </c>
      <c r="S357" s="3">
        <v>9388.5682799999995</v>
      </c>
      <c r="T357" s="3">
        <f t="shared" si="26"/>
        <v>0.40476658249048808</v>
      </c>
      <c r="U357" s="3" t="str">
        <f t="shared" si="27"/>
        <v>Jan-2024</v>
      </c>
      <c r="AB357" s="3">
        <f t="shared" si="28"/>
        <v>13806.45</v>
      </c>
      <c r="AC357" s="3">
        <f t="shared" si="29"/>
        <v>23195.01828</v>
      </c>
    </row>
    <row r="358" spans="1:29" x14ac:dyDescent="0.35">
      <c r="A358" s="3" t="s">
        <v>370</v>
      </c>
      <c r="B358" s="4">
        <v>45883</v>
      </c>
      <c r="C358" s="4">
        <v>45911</v>
      </c>
      <c r="D358" s="5">
        <v>28</v>
      </c>
      <c r="E358" s="3" t="s">
        <v>648</v>
      </c>
      <c r="F358" s="3" t="s">
        <v>655</v>
      </c>
      <c r="G358" s="3" t="s">
        <v>670</v>
      </c>
      <c r="H358" s="3" t="s">
        <v>703</v>
      </c>
      <c r="I358" s="3" t="s">
        <v>711</v>
      </c>
      <c r="J358" s="3" t="s">
        <v>721</v>
      </c>
      <c r="K358" s="3" t="s">
        <v>728</v>
      </c>
      <c r="L358" s="3" t="s">
        <v>1090</v>
      </c>
      <c r="M358" s="3">
        <v>1203.02</v>
      </c>
      <c r="N358" s="3">
        <v>2439.33</v>
      </c>
      <c r="O358" s="3">
        <v>0</v>
      </c>
      <c r="P358" s="3">
        <v>18</v>
      </c>
      <c r="Q358" s="3">
        <v>43907.94</v>
      </c>
      <c r="R358" s="3">
        <f t="shared" si="25"/>
        <v>21654.36</v>
      </c>
      <c r="S358" s="3">
        <v>22253.58</v>
      </c>
      <c r="T358" s="3">
        <f t="shared" si="26"/>
        <v>0.50682359500354612</v>
      </c>
      <c r="U358" s="3" t="str">
        <f t="shared" si="27"/>
        <v>Aug-2025</v>
      </c>
      <c r="AB358" s="3">
        <f t="shared" si="28"/>
        <v>21654.36</v>
      </c>
      <c r="AC358" s="3">
        <f t="shared" si="29"/>
        <v>43907.94</v>
      </c>
    </row>
    <row r="359" spans="1:29" x14ac:dyDescent="0.35">
      <c r="A359" s="3" t="s">
        <v>371</v>
      </c>
      <c r="B359" s="4">
        <v>45385</v>
      </c>
      <c r="C359" s="4">
        <v>45403</v>
      </c>
      <c r="D359" s="5">
        <v>18</v>
      </c>
      <c r="E359" s="3" t="s">
        <v>648</v>
      </c>
      <c r="F359" s="3" t="s">
        <v>655</v>
      </c>
      <c r="G359" s="3" t="s">
        <v>672</v>
      </c>
      <c r="H359" s="3" t="s">
        <v>705</v>
      </c>
      <c r="I359" s="3" t="s">
        <v>710</v>
      </c>
      <c r="J359" s="3" t="s">
        <v>717</v>
      </c>
      <c r="K359" s="3" t="s">
        <v>729</v>
      </c>
      <c r="L359" s="3" t="s">
        <v>1091</v>
      </c>
      <c r="M359" s="3">
        <v>1176.69</v>
      </c>
      <c r="N359" s="3">
        <v>2201.54</v>
      </c>
      <c r="O359" s="3">
        <v>0.17</v>
      </c>
      <c r="P359" s="3">
        <v>27</v>
      </c>
      <c r="Q359" s="3">
        <v>49336.511399999996</v>
      </c>
      <c r="R359" s="3">
        <f t="shared" si="25"/>
        <v>31770.63</v>
      </c>
      <c r="S359" s="3">
        <v>17565.881399999995</v>
      </c>
      <c r="T359" s="3">
        <f t="shared" si="26"/>
        <v>0.35604222717701106</v>
      </c>
      <c r="U359" s="3" t="str">
        <f t="shared" si="27"/>
        <v>Apr-2024</v>
      </c>
      <c r="AB359" s="3">
        <f t="shared" si="28"/>
        <v>31770.63</v>
      </c>
      <c r="AC359" s="3">
        <f t="shared" si="29"/>
        <v>49336.511399999996</v>
      </c>
    </row>
    <row r="360" spans="1:29" x14ac:dyDescent="0.35">
      <c r="A360" s="3" t="s">
        <v>372</v>
      </c>
      <c r="B360" s="4">
        <v>45621</v>
      </c>
      <c r="C360" s="4">
        <v>45633</v>
      </c>
      <c r="D360" s="5">
        <v>12</v>
      </c>
      <c r="E360" s="3" t="s">
        <v>647</v>
      </c>
      <c r="F360" s="3" t="s">
        <v>659</v>
      </c>
      <c r="G360" s="3" t="s">
        <v>685</v>
      </c>
      <c r="H360" s="3" t="s">
        <v>701</v>
      </c>
      <c r="I360" s="3" t="s">
        <v>710</v>
      </c>
      <c r="J360" s="3" t="s">
        <v>720</v>
      </c>
      <c r="K360" s="3" t="s">
        <v>733</v>
      </c>
      <c r="L360" s="3" t="s">
        <v>1092</v>
      </c>
      <c r="M360" s="3">
        <v>769.9</v>
      </c>
      <c r="N360" s="3">
        <v>814.36</v>
      </c>
      <c r="O360" s="3">
        <v>0</v>
      </c>
      <c r="P360" s="3">
        <v>5</v>
      </c>
      <c r="Q360" s="3">
        <v>4071.8</v>
      </c>
      <c r="R360" s="3">
        <f t="shared" si="25"/>
        <v>3849.5</v>
      </c>
      <c r="S360" s="3">
        <v>222.30000000000018</v>
      </c>
      <c r="T360" s="3">
        <f t="shared" si="26"/>
        <v>5.4595019401738831E-2</v>
      </c>
      <c r="U360" s="3" t="str">
        <f t="shared" si="27"/>
        <v>Nov-2024</v>
      </c>
      <c r="AB360" s="3">
        <f t="shared" si="28"/>
        <v>3849.5</v>
      </c>
      <c r="AC360" s="3">
        <f t="shared" si="29"/>
        <v>4071.8</v>
      </c>
    </row>
    <row r="361" spans="1:29" x14ac:dyDescent="0.35">
      <c r="A361" s="3" t="s">
        <v>373</v>
      </c>
      <c r="B361" s="4">
        <v>45309</v>
      </c>
      <c r="C361" s="4">
        <v>45325</v>
      </c>
      <c r="D361" s="5">
        <v>16</v>
      </c>
      <c r="E361" s="3" t="s">
        <v>646</v>
      </c>
      <c r="F361" s="3" t="s">
        <v>661</v>
      </c>
      <c r="G361" s="3" t="s">
        <v>695</v>
      </c>
      <c r="H361" s="3" t="s">
        <v>703</v>
      </c>
      <c r="I361" s="3" t="s">
        <v>710</v>
      </c>
      <c r="J361" s="3" t="s">
        <v>716</v>
      </c>
      <c r="K361" s="3" t="s">
        <v>728</v>
      </c>
      <c r="L361" s="3" t="s">
        <v>1093</v>
      </c>
      <c r="M361" s="3">
        <v>666.23</v>
      </c>
      <c r="N361" s="3">
        <v>1382.91</v>
      </c>
      <c r="O361" s="3">
        <v>0.17599999999999999</v>
      </c>
      <c r="P361" s="3">
        <v>13</v>
      </c>
      <c r="Q361" s="3">
        <v>14813.731920000002</v>
      </c>
      <c r="R361" s="3">
        <f t="shared" si="25"/>
        <v>8660.99</v>
      </c>
      <c r="S361" s="3">
        <v>6152.7419200000022</v>
      </c>
      <c r="T361" s="3">
        <f t="shared" si="26"/>
        <v>0.41534043907553048</v>
      </c>
      <c r="U361" s="3" t="str">
        <f t="shared" si="27"/>
        <v>Jan-2024</v>
      </c>
      <c r="AB361" s="3">
        <f t="shared" si="28"/>
        <v>8660.99</v>
      </c>
      <c r="AC361" s="3">
        <f t="shared" si="29"/>
        <v>14813.731920000002</v>
      </c>
    </row>
    <row r="362" spans="1:29" x14ac:dyDescent="0.35">
      <c r="A362" s="3" t="s">
        <v>374</v>
      </c>
      <c r="B362" s="4">
        <v>45466</v>
      </c>
      <c r="C362" s="4">
        <v>45468</v>
      </c>
      <c r="D362" s="5">
        <v>2</v>
      </c>
      <c r="E362" s="3" t="s">
        <v>649</v>
      </c>
      <c r="F362" s="3" t="s">
        <v>658</v>
      </c>
      <c r="G362" s="3" t="s">
        <v>674</v>
      </c>
      <c r="H362" s="3" t="s">
        <v>705</v>
      </c>
      <c r="I362" s="3" t="s">
        <v>709</v>
      </c>
      <c r="J362" s="3" t="s">
        <v>716</v>
      </c>
      <c r="K362" s="3" t="s">
        <v>733</v>
      </c>
      <c r="L362" s="3" t="s">
        <v>1094</v>
      </c>
      <c r="M362" s="3">
        <v>951.44</v>
      </c>
      <c r="N362" s="3">
        <v>1646.43</v>
      </c>
      <c r="O362" s="3">
        <v>0.11</v>
      </c>
      <c r="P362" s="3">
        <v>24</v>
      </c>
      <c r="Q362" s="3">
        <v>35167.7448</v>
      </c>
      <c r="R362" s="3">
        <f t="shared" si="25"/>
        <v>22834.560000000001</v>
      </c>
      <c r="S362" s="3">
        <v>12333.184799999999</v>
      </c>
      <c r="T362" s="3">
        <f t="shared" si="26"/>
        <v>0.35069592520473475</v>
      </c>
      <c r="U362" s="3" t="str">
        <f t="shared" si="27"/>
        <v>Jun-2024</v>
      </c>
      <c r="AB362" s="3">
        <f t="shared" si="28"/>
        <v>22834.560000000001</v>
      </c>
      <c r="AC362" s="3">
        <f t="shared" si="29"/>
        <v>35167.7448</v>
      </c>
    </row>
    <row r="363" spans="1:29" x14ac:dyDescent="0.35">
      <c r="A363" s="3" t="s">
        <v>375</v>
      </c>
      <c r="B363" s="4">
        <v>45833</v>
      </c>
      <c r="C363" s="4">
        <v>45848</v>
      </c>
      <c r="D363" s="5">
        <v>15</v>
      </c>
      <c r="E363" s="3" t="s">
        <v>649</v>
      </c>
      <c r="F363" s="3" t="s">
        <v>658</v>
      </c>
      <c r="G363" s="3" t="s">
        <v>674</v>
      </c>
      <c r="H363" s="3" t="s">
        <v>703</v>
      </c>
      <c r="I363" s="3" t="s">
        <v>709</v>
      </c>
      <c r="J363" s="3" t="s">
        <v>726</v>
      </c>
      <c r="K363" s="3" t="s">
        <v>730</v>
      </c>
      <c r="L363" s="3" t="s">
        <v>1095</v>
      </c>
      <c r="M363" s="3">
        <v>546.83000000000004</v>
      </c>
      <c r="N363" s="3">
        <v>400.84</v>
      </c>
      <c r="O363" s="3">
        <v>7.8E-2</v>
      </c>
      <c r="P363" s="3">
        <v>13</v>
      </c>
      <c r="Q363" s="3">
        <v>4804.4682400000002</v>
      </c>
      <c r="R363" s="3">
        <f t="shared" si="25"/>
        <v>7108.7900000000009</v>
      </c>
      <c r="S363" s="3">
        <v>2304.3217600000007</v>
      </c>
      <c r="T363" s="3">
        <f t="shared" si="26"/>
        <v>0.47962056254533608</v>
      </c>
      <c r="U363" s="3" t="str">
        <f t="shared" si="27"/>
        <v>Jun-2025</v>
      </c>
      <c r="AB363" s="3">
        <f t="shared" si="28"/>
        <v>7108.7900000000009</v>
      </c>
      <c r="AC363" s="3">
        <f t="shared" si="29"/>
        <v>4804.4682400000002</v>
      </c>
    </row>
    <row r="364" spans="1:29" x14ac:dyDescent="0.35">
      <c r="A364" s="3" t="s">
        <v>376</v>
      </c>
      <c r="B364" s="4">
        <v>45108</v>
      </c>
      <c r="C364" s="4">
        <v>45115</v>
      </c>
      <c r="D364" s="5">
        <v>7</v>
      </c>
      <c r="E364" s="3" t="s">
        <v>646</v>
      </c>
      <c r="F364" s="3" t="s">
        <v>651</v>
      </c>
      <c r="G364" s="3" t="s">
        <v>663</v>
      </c>
      <c r="H364" s="3" t="s">
        <v>701</v>
      </c>
      <c r="I364" s="3" t="s">
        <v>707</v>
      </c>
      <c r="J364" s="3" t="s">
        <v>720</v>
      </c>
      <c r="K364" s="3" t="s">
        <v>731</v>
      </c>
      <c r="L364" s="3" t="s">
        <v>1096</v>
      </c>
      <c r="M364" s="3">
        <v>834.26</v>
      </c>
      <c r="N364" s="3">
        <v>1780.56</v>
      </c>
      <c r="O364" s="3">
        <v>1.4E-2</v>
      </c>
      <c r="P364" s="3">
        <v>47</v>
      </c>
      <c r="Q364" s="3">
        <v>82514.711519999997</v>
      </c>
      <c r="R364" s="3">
        <f t="shared" si="25"/>
        <v>39210.22</v>
      </c>
      <c r="S364" s="3">
        <v>43304.491519999996</v>
      </c>
      <c r="T364" s="3">
        <f t="shared" si="26"/>
        <v>0.5248093427497933</v>
      </c>
      <c r="U364" s="3" t="str">
        <f t="shared" si="27"/>
        <v>Jul-2023</v>
      </c>
      <c r="AB364" s="3">
        <f t="shared" si="28"/>
        <v>39210.22</v>
      </c>
      <c r="AC364" s="3">
        <f t="shared" si="29"/>
        <v>82514.711519999997</v>
      </c>
    </row>
    <row r="365" spans="1:29" x14ac:dyDescent="0.35">
      <c r="A365" s="3" t="s">
        <v>377</v>
      </c>
      <c r="B365" s="4">
        <v>45360</v>
      </c>
      <c r="C365" s="4">
        <v>45377</v>
      </c>
      <c r="D365" s="5">
        <v>17</v>
      </c>
      <c r="E365" s="3" t="s">
        <v>647</v>
      </c>
      <c r="F365" s="3" t="s">
        <v>659</v>
      </c>
      <c r="G365" s="3" t="s">
        <v>676</v>
      </c>
      <c r="H365" s="3" t="s">
        <v>706</v>
      </c>
      <c r="I365" s="3" t="s">
        <v>708</v>
      </c>
      <c r="J365" s="3" t="s">
        <v>723</v>
      </c>
      <c r="K365" s="3" t="s">
        <v>732</v>
      </c>
      <c r="L365" s="3" t="s">
        <v>1097</v>
      </c>
      <c r="M365" s="3">
        <v>1029.67</v>
      </c>
      <c r="N365" s="3">
        <v>1118.43</v>
      </c>
      <c r="O365" s="3">
        <v>0.27200000000000002</v>
      </c>
      <c r="P365" s="3">
        <v>9</v>
      </c>
      <c r="Q365" s="3">
        <v>7327.9533600000004</v>
      </c>
      <c r="R365" s="3">
        <f t="shared" si="25"/>
        <v>9267.0300000000007</v>
      </c>
      <c r="S365" s="3">
        <v>1939.0766400000002</v>
      </c>
      <c r="T365" s="3">
        <f t="shared" si="26"/>
        <v>0.26461367106736061</v>
      </c>
      <c r="U365" s="3" t="str">
        <f t="shared" si="27"/>
        <v>Mar-2024</v>
      </c>
      <c r="AB365" s="3">
        <f t="shared" si="28"/>
        <v>9267.0300000000007</v>
      </c>
      <c r="AC365" s="3">
        <f t="shared" si="29"/>
        <v>8052.6960000000008</v>
      </c>
    </row>
    <row r="366" spans="1:29" x14ac:dyDescent="0.35">
      <c r="A366" s="3" t="s">
        <v>378</v>
      </c>
      <c r="B366" s="4">
        <v>45082</v>
      </c>
      <c r="C366" s="4">
        <v>45105</v>
      </c>
      <c r="D366" s="5">
        <v>23</v>
      </c>
      <c r="E366" s="3" t="s">
        <v>649</v>
      </c>
      <c r="F366" s="3" t="s">
        <v>658</v>
      </c>
      <c r="G366" s="3" t="s">
        <v>674</v>
      </c>
      <c r="H366" s="3" t="s">
        <v>701</v>
      </c>
      <c r="I366" s="3" t="s">
        <v>711</v>
      </c>
      <c r="J366" s="3" t="s">
        <v>723</v>
      </c>
      <c r="K366" s="3" t="s">
        <v>728</v>
      </c>
      <c r="L366" s="3" t="s">
        <v>1098</v>
      </c>
      <c r="M366" s="3">
        <v>605.82000000000005</v>
      </c>
      <c r="N366" s="3">
        <v>771.12</v>
      </c>
      <c r="O366" s="3">
        <v>0.13200000000000001</v>
      </c>
      <c r="P366" s="3">
        <v>19</v>
      </c>
      <c r="Q366" s="3">
        <v>12717.311040000001</v>
      </c>
      <c r="R366" s="3">
        <f t="shared" si="25"/>
        <v>11510.580000000002</v>
      </c>
      <c r="S366" s="3">
        <v>1206.7310399999988</v>
      </c>
      <c r="T366" s="3">
        <f t="shared" si="26"/>
        <v>9.4888851597986767E-2</v>
      </c>
      <c r="U366" s="3" t="str">
        <f t="shared" si="27"/>
        <v>Jun-2023</v>
      </c>
      <c r="AB366" s="3">
        <f t="shared" si="28"/>
        <v>11510.580000000002</v>
      </c>
      <c r="AC366" s="3">
        <f t="shared" si="29"/>
        <v>12717.311040000001</v>
      </c>
    </row>
    <row r="367" spans="1:29" x14ac:dyDescent="0.35">
      <c r="A367" s="3" t="s">
        <v>379</v>
      </c>
      <c r="B367" s="4">
        <v>45737</v>
      </c>
      <c r="C367" s="4">
        <v>45756</v>
      </c>
      <c r="D367" s="5">
        <v>19</v>
      </c>
      <c r="E367" s="3" t="s">
        <v>647</v>
      </c>
      <c r="F367" s="3" t="s">
        <v>652</v>
      </c>
      <c r="G367" s="3" t="s">
        <v>689</v>
      </c>
      <c r="H367" s="3" t="s">
        <v>705</v>
      </c>
      <c r="I367" s="3" t="s">
        <v>710</v>
      </c>
      <c r="J367" s="3" t="s">
        <v>718</v>
      </c>
      <c r="K367" s="3" t="s">
        <v>727</v>
      </c>
      <c r="L367" s="3" t="s">
        <v>1099</v>
      </c>
      <c r="M367" s="3">
        <v>1055.45</v>
      </c>
      <c r="N367" s="3">
        <v>1210.04</v>
      </c>
      <c r="O367" s="3">
        <v>8.9999999999999993E-3</v>
      </c>
      <c r="P367" s="3">
        <v>18</v>
      </c>
      <c r="Q367" s="3">
        <v>21584.693520000001</v>
      </c>
      <c r="R367" s="3">
        <f t="shared" si="25"/>
        <v>18998.100000000002</v>
      </c>
      <c r="S367" s="3">
        <v>2586.5935199999985</v>
      </c>
      <c r="T367" s="3">
        <f t="shared" si="26"/>
        <v>0.1198346188053727</v>
      </c>
      <c r="U367" s="3" t="str">
        <f t="shared" si="27"/>
        <v>Mar-2025</v>
      </c>
      <c r="AB367" s="3">
        <f t="shared" si="28"/>
        <v>18998.100000000002</v>
      </c>
      <c r="AC367" s="3">
        <f t="shared" si="29"/>
        <v>21584.693520000001</v>
      </c>
    </row>
    <row r="368" spans="1:29" x14ac:dyDescent="0.35">
      <c r="A368" s="3" t="s">
        <v>380</v>
      </c>
      <c r="B368" s="4">
        <v>45445</v>
      </c>
      <c r="C368" s="4">
        <v>45458</v>
      </c>
      <c r="D368" s="5">
        <v>13</v>
      </c>
      <c r="E368" s="3" t="s">
        <v>646</v>
      </c>
      <c r="F368" s="3" t="s">
        <v>650</v>
      </c>
      <c r="G368" s="3" t="s">
        <v>675</v>
      </c>
      <c r="H368" s="3" t="s">
        <v>702</v>
      </c>
      <c r="I368" s="3" t="s">
        <v>708</v>
      </c>
      <c r="J368" s="3" t="s">
        <v>719</v>
      </c>
      <c r="K368" s="3" t="s">
        <v>730</v>
      </c>
      <c r="L368" s="3" t="s">
        <v>1100</v>
      </c>
      <c r="M368" s="3">
        <v>1295.18</v>
      </c>
      <c r="N368" s="3">
        <v>3024.03</v>
      </c>
      <c r="O368" s="3">
        <v>0.192</v>
      </c>
      <c r="P368" s="3">
        <v>8</v>
      </c>
      <c r="Q368" s="3">
        <v>19547.329920000004</v>
      </c>
      <c r="R368" s="3">
        <f t="shared" si="25"/>
        <v>10361.44</v>
      </c>
      <c r="S368" s="3">
        <v>9185.8899200000033</v>
      </c>
      <c r="T368" s="3">
        <f t="shared" si="26"/>
        <v>0.46993067378483178</v>
      </c>
      <c r="U368" s="3" t="str">
        <f t="shared" si="27"/>
        <v>Jun-2024</v>
      </c>
      <c r="AB368" s="3">
        <f t="shared" si="28"/>
        <v>10361.44</v>
      </c>
      <c r="AC368" s="3">
        <f t="shared" si="29"/>
        <v>19547.329920000004</v>
      </c>
    </row>
    <row r="369" spans="1:29" x14ac:dyDescent="0.35">
      <c r="A369" s="3" t="s">
        <v>381</v>
      </c>
      <c r="B369" s="4">
        <v>45731</v>
      </c>
      <c r="C369" s="4">
        <v>45745</v>
      </c>
      <c r="D369" s="5">
        <v>14</v>
      </c>
      <c r="E369" s="3" t="s">
        <v>647</v>
      </c>
      <c r="F369" s="3" t="s">
        <v>654</v>
      </c>
      <c r="G369" s="3" t="s">
        <v>691</v>
      </c>
      <c r="H369" s="3" t="s">
        <v>706</v>
      </c>
      <c r="I369" s="3" t="s">
        <v>711</v>
      </c>
      <c r="J369" s="3" t="s">
        <v>712</v>
      </c>
      <c r="K369" s="3" t="s">
        <v>727</v>
      </c>
      <c r="L369" s="3" t="s">
        <v>1101</v>
      </c>
      <c r="M369" s="3">
        <v>935.83</v>
      </c>
      <c r="N369" s="3">
        <v>2303.46</v>
      </c>
      <c r="O369" s="3">
        <v>0.105</v>
      </c>
      <c r="P369" s="3">
        <v>9</v>
      </c>
      <c r="Q369" s="3">
        <v>18554.370299999999</v>
      </c>
      <c r="R369" s="3">
        <f t="shared" si="25"/>
        <v>8422.4700000000012</v>
      </c>
      <c r="S369" s="3">
        <v>10131.900299999998</v>
      </c>
      <c r="T369" s="3">
        <f t="shared" si="26"/>
        <v>0.54606543559174292</v>
      </c>
      <c r="U369" s="3" t="str">
        <f t="shared" si="27"/>
        <v>Mar-2025</v>
      </c>
      <c r="AB369" s="3">
        <f t="shared" si="28"/>
        <v>8422.4700000000012</v>
      </c>
      <c r="AC369" s="3">
        <f t="shared" si="29"/>
        <v>18554.370299999999</v>
      </c>
    </row>
    <row r="370" spans="1:29" x14ac:dyDescent="0.35">
      <c r="A370" s="3" t="s">
        <v>382</v>
      </c>
      <c r="B370" s="4">
        <v>45194</v>
      </c>
      <c r="C370" s="4">
        <v>45208</v>
      </c>
      <c r="D370" s="5">
        <v>14</v>
      </c>
      <c r="E370" s="3" t="s">
        <v>648</v>
      </c>
      <c r="F370" s="3" t="s">
        <v>660</v>
      </c>
      <c r="G370" s="3" t="s">
        <v>700</v>
      </c>
      <c r="H370" s="3" t="s">
        <v>705</v>
      </c>
      <c r="I370" s="3" t="s">
        <v>709</v>
      </c>
      <c r="J370" s="3" t="s">
        <v>713</v>
      </c>
      <c r="K370" s="3" t="s">
        <v>731</v>
      </c>
      <c r="L370" s="3" t="s">
        <v>1102</v>
      </c>
      <c r="M370" s="3">
        <v>1279.56</v>
      </c>
      <c r="N370" s="3">
        <v>3083.8</v>
      </c>
      <c r="O370" s="3">
        <v>0.106</v>
      </c>
      <c r="P370" s="3">
        <v>5</v>
      </c>
      <c r="Q370" s="3">
        <v>13784.586000000001</v>
      </c>
      <c r="R370" s="3">
        <f t="shared" si="25"/>
        <v>6397.7999999999993</v>
      </c>
      <c r="S370" s="3">
        <v>7386.7860000000019</v>
      </c>
      <c r="T370" s="3">
        <f t="shared" si="26"/>
        <v>0.53587289455047848</v>
      </c>
      <c r="U370" s="3" t="str">
        <f t="shared" si="27"/>
        <v>Sep-2023</v>
      </c>
      <c r="AB370" s="3">
        <f t="shared" si="28"/>
        <v>6397.7999999999993</v>
      </c>
      <c r="AC370" s="3">
        <f t="shared" si="29"/>
        <v>13784.586000000001</v>
      </c>
    </row>
    <row r="371" spans="1:29" x14ac:dyDescent="0.35">
      <c r="A371" s="3" t="s">
        <v>383</v>
      </c>
      <c r="B371" s="4">
        <v>45832</v>
      </c>
      <c r="C371" s="4">
        <v>45861</v>
      </c>
      <c r="D371" s="5">
        <v>29</v>
      </c>
      <c r="E371" s="3" t="s">
        <v>648</v>
      </c>
      <c r="F371" s="3" t="s">
        <v>653</v>
      </c>
      <c r="G371" s="3" t="s">
        <v>688</v>
      </c>
      <c r="H371" s="3" t="s">
        <v>703</v>
      </c>
      <c r="I371" s="3" t="s">
        <v>709</v>
      </c>
      <c r="J371" s="3" t="s">
        <v>714</v>
      </c>
      <c r="K371" s="3" t="s">
        <v>728</v>
      </c>
      <c r="L371" s="3" t="s">
        <v>1103</v>
      </c>
      <c r="M371" s="3">
        <v>255.4</v>
      </c>
      <c r="N371" s="3">
        <v>322.70999999999998</v>
      </c>
      <c r="O371" s="3">
        <v>0.115</v>
      </c>
      <c r="P371" s="3">
        <v>16</v>
      </c>
      <c r="Q371" s="3">
        <v>4569.5735999999997</v>
      </c>
      <c r="R371" s="3">
        <f t="shared" si="25"/>
        <v>4086.4</v>
      </c>
      <c r="S371" s="3">
        <v>483.17359999999962</v>
      </c>
      <c r="T371" s="3">
        <f t="shared" si="26"/>
        <v>0.10573713048412212</v>
      </c>
      <c r="U371" s="3" t="str">
        <f t="shared" si="27"/>
        <v>Jun-2025</v>
      </c>
      <c r="AB371" s="3">
        <f t="shared" si="28"/>
        <v>4086.4</v>
      </c>
      <c r="AC371" s="3">
        <f t="shared" si="29"/>
        <v>4569.5735999999997</v>
      </c>
    </row>
    <row r="372" spans="1:29" x14ac:dyDescent="0.35">
      <c r="A372" s="3" t="s">
        <v>384</v>
      </c>
      <c r="B372" s="4">
        <v>45286</v>
      </c>
      <c r="C372" s="4">
        <v>45294</v>
      </c>
      <c r="D372" s="5">
        <v>8</v>
      </c>
      <c r="E372" s="3" t="s">
        <v>649</v>
      </c>
      <c r="F372" s="3" t="s">
        <v>657</v>
      </c>
      <c r="G372" s="3" t="s">
        <v>679</v>
      </c>
      <c r="H372" s="3" t="s">
        <v>705</v>
      </c>
      <c r="I372" s="3" t="s">
        <v>707</v>
      </c>
      <c r="J372" s="3" t="s">
        <v>724</v>
      </c>
      <c r="K372" s="3" t="s">
        <v>731</v>
      </c>
      <c r="L372" s="3" t="s">
        <v>1104</v>
      </c>
      <c r="M372" s="3">
        <v>492.75</v>
      </c>
      <c r="N372" s="3">
        <v>731.29</v>
      </c>
      <c r="O372" s="3">
        <v>5.8000000000000003E-2</v>
      </c>
      <c r="P372" s="3">
        <v>6</v>
      </c>
      <c r="Q372" s="3">
        <v>4133.25108</v>
      </c>
      <c r="R372" s="3">
        <f t="shared" si="25"/>
        <v>2956.5</v>
      </c>
      <c r="S372" s="3">
        <v>1176.75108</v>
      </c>
      <c r="T372" s="3">
        <f t="shared" si="26"/>
        <v>0.28470350753528384</v>
      </c>
      <c r="U372" s="3" t="str">
        <f t="shared" si="27"/>
        <v>Dec-2023</v>
      </c>
      <c r="AB372" s="3">
        <f t="shared" si="28"/>
        <v>2956.5</v>
      </c>
      <c r="AC372" s="3">
        <f t="shared" si="29"/>
        <v>4133.25108</v>
      </c>
    </row>
    <row r="373" spans="1:29" x14ac:dyDescent="0.35">
      <c r="A373" s="3" t="s">
        <v>385</v>
      </c>
      <c r="B373" s="4">
        <v>44962</v>
      </c>
      <c r="C373" s="4">
        <v>44985</v>
      </c>
      <c r="D373" s="5">
        <v>23</v>
      </c>
      <c r="E373" s="3" t="s">
        <v>648</v>
      </c>
      <c r="F373" s="3" t="s">
        <v>660</v>
      </c>
      <c r="G373" s="3" t="s">
        <v>697</v>
      </c>
      <c r="H373" s="3" t="s">
        <v>703</v>
      </c>
      <c r="I373" s="3" t="s">
        <v>710</v>
      </c>
      <c r="J373" s="3" t="s">
        <v>716</v>
      </c>
      <c r="K373" s="3" t="s">
        <v>730</v>
      </c>
      <c r="L373" s="3" t="s">
        <v>1105</v>
      </c>
      <c r="M373" s="3">
        <v>1214.49</v>
      </c>
      <c r="N373" s="3">
        <v>1533.95</v>
      </c>
      <c r="O373" s="3">
        <v>0</v>
      </c>
      <c r="P373" s="3">
        <v>11</v>
      </c>
      <c r="Q373" s="3">
        <v>16873.45</v>
      </c>
      <c r="R373" s="3">
        <f t="shared" si="25"/>
        <v>13359.39</v>
      </c>
      <c r="S373" s="3">
        <v>3514.0600000000013</v>
      </c>
      <c r="T373" s="3">
        <f t="shared" si="26"/>
        <v>0.20825972163369086</v>
      </c>
      <c r="U373" s="3" t="str">
        <f t="shared" si="27"/>
        <v>Feb-2023</v>
      </c>
      <c r="AB373" s="3">
        <f t="shared" si="28"/>
        <v>13359.39</v>
      </c>
      <c r="AC373" s="3">
        <f t="shared" si="29"/>
        <v>16873.45</v>
      </c>
    </row>
    <row r="374" spans="1:29" x14ac:dyDescent="0.35">
      <c r="A374" s="3" t="s">
        <v>386</v>
      </c>
      <c r="B374" s="4">
        <v>45022</v>
      </c>
      <c r="C374" s="4">
        <v>45024</v>
      </c>
      <c r="D374" s="5">
        <v>2</v>
      </c>
      <c r="E374" s="3" t="s">
        <v>646</v>
      </c>
      <c r="F374" s="3" t="s">
        <v>651</v>
      </c>
      <c r="G374" s="3" t="s">
        <v>669</v>
      </c>
      <c r="H374" s="3" t="s">
        <v>705</v>
      </c>
      <c r="I374" s="3" t="s">
        <v>709</v>
      </c>
      <c r="J374" s="3" t="s">
        <v>723</v>
      </c>
      <c r="K374" s="3" t="s">
        <v>732</v>
      </c>
      <c r="L374" s="3" t="s">
        <v>1106</v>
      </c>
      <c r="M374" s="3">
        <v>720.35</v>
      </c>
      <c r="N374" s="3">
        <v>1571.66</v>
      </c>
      <c r="O374" s="3">
        <v>0.107</v>
      </c>
      <c r="P374" s="3">
        <v>23</v>
      </c>
      <c r="Q374" s="3">
        <v>32280.32474</v>
      </c>
      <c r="R374" s="3">
        <f t="shared" si="25"/>
        <v>16568.05</v>
      </c>
      <c r="S374" s="3">
        <v>15712.274740000001</v>
      </c>
      <c r="T374" s="3">
        <f t="shared" si="26"/>
        <v>0.4867446305622265</v>
      </c>
      <c r="U374" s="3" t="str">
        <f t="shared" si="27"/>
        <v>Apr-2023</v>
      </c>
      <c r="AB374" s="3">
        <f t="shared" si="28"/>
        <v>16568.05</v>
      </c>
      <c r="AC374" s="3">
        <f t="shared" si="29"/>
        <v>32280.32474</v>
      </c>
    </row>
    <row r="375" spans="1:29" x14ac:dyDescent="0.35">
      <c r="A375" s="3" t="s">
        <v>387</v>
      </c>
      <c r="B375" s="4">
        <v>45751</v>
      </c>
      <c r="C375" s="4">
        <v>45757</v>
      </c>
      <c r="D375" s="5">
        <v>6</v>
      </c>
      <c r="E375" s="3" t="s">
        <v>649</v>
      </c>
      <c r="F375" s="3" t="s">
        <v>658</v>
      </c>
      <c r="G375" s="3" t="s">
        <v>674</v>
      </c>
      <c r="H375" s="3" t="s">
        <v>703</v>
      </c>
      <c r="I375" s="3" t="s">
        <v>711</v>
      </c>
      <c r="J375" s="3" t="s">
        <v>725</v>
      </c>
      <c r="K375" s="3" t="s">
        <v>728</v>
      </c>
      <c r="L375" s="3" t="s">
        <v>1107</v>
      </c>
      <c r="M375" s="3">
        <v>290.14</v>
      </c>
      <c r="N375" s="3">
        <v>250.73</v>
      </c>
      <c r="O375" s="3">
        <v>3.4000000000000002E-2</v>
      </c>
      <c r="P375" s="3">
        <v>17</v>
      </c>
      <c r="Q375" s="3">
        <v>4117.4880599999997</v>
      </c>
      <c r="R375" s="3">
        <f t="shared" si="25"/>
        <v>4932.38</v>
      </c>
      <c r="S375" s="3">
        <v>814.89194000000043</v>
      </c>
      <c r="T375" s="3">
        <f t="shared" si="26"/>
        <v>0.19790997038131072</v>
      </c>
      <c r="U375" s="3" t="str">
        <f t="shared" si="27"/>
        <v>Apr-2025</v>
      </c>
      <c r="AB375" s="3">
        <f t="shared" si="28"/>
        <v>4932.38</v>
      </c>
      <c r="AC375" s="3">
        <f t="shared" si="29"/>
        <v>4117.4880599999997</v>
      </c>
    </row>
    <row r="376" spans="1:29" x14ac:dyDescent="0.35">
      <c r="A376" s="3" t="s">
        <v>388</v>
      </c>
      <c r="B376" s="4">
        <v>45429</v>
      </c>
      <c r="C376" s="4">
        <v>45439</v>
      </c>
      <c r="D376" s="5">
        <v>10</v>
      </c>
      <c r="E376" s="3" t="s">
        <v>648</v>
      </c>
      <c r="F376" s="3" t="s">
        <v>660</v>
      </c>
      <c r="G376" s="3" t="s">
        <v>697</v>
      </c>
      <c r="H376" s="3" t="s">
        <v>703</v>
      </c>
      <c r="I376" s="3" t="s">
        <v>708</v>
      </c>
      <c r="J376" s="3" t="s">
        <v>712</v>
      </c>
      <c r="K376" s="3" t="s">
        <v>730</v>
      </c>
      <c r="L376" s="3" t="s">
        <v>1108</v>
      </c>
      <c r="M376" s="3">
        <v>1484.23</v>
      </c>
      <c r="N376" s="3">
        <v>3472.81</v>
      </c>
      <c r="O376" s="3">
        <v>0.25600000000000001</v>
      </c>
      <c r="P376" s="3">
        <v>12</v>
      </c>
      <c r="Q376" s="3">
        <v>31005.24768</v>
      </c>
      <c r="R376" s="3">
        <f t="shared" si="25"/>
        <v>17810.760000000002</v>
      </c>
      <c r="S376" s="3">
        <v>13194.487679999998</v>
      </c>
      <c r="T376" s="3">
        <f t="shared" si="26"/>
        <v>0.42555659661803413</v>
      </c>
      <c r="U376" s="3" t="str">
        <f t="shared" si="27"/>
        <v>May-2024</v>
      </c>
      <c r="AB376" s="3">
        <f t="shared" si="28"/>
        <v>17810.760000000002</v>
      </c>
      <c r="AC376" s="3">
        <f t="shared" si="29"/>
        <v>33338.976000000002</v>
      </c>
    </row>
    <row r="377" spans="1:29" x14ac:dyDescent="0.35">
      <c r="A377" s="3" t="s">
        <v>389</v>
      </c>
      <c r="B377" s="4">
        <v>45354</v>
      </c>
      <c r="C377" s="4">
        <v>45370</v>
      </c>
      <c r="D377" s="5">
        <v>16</v>
      </c>
      <c r="E377" s="3" t="s">
        <v>647</v>
      </c>
      <c r="F377" s="3" t="s">
        <v>659</v>
      </c>
      <c r="G377" s="3" t="s">
        <v>699</v>
      </c>
      <c r="H377" s="3" t="s">
        <v>704</v>
      </c>
      <c r="I377" s="3" t="s">
        <v>710</v>
      </c>
      <c r="J377" s="3" t="s">
        <v>715</v>
      </c>
      <c r="K377" s="3" t="s">
        <v>730</v>
      </c>
      <c r="L377" s="3" t="s">
        <v>1109</v>
      </c>
      <c r="M377" s="3">
        <v>988.83</v>
      </c>
      <c r="N377" s="3">
        <v>1206.04</v>
      </c>
      <c r="O377" s="3">
        <v>6.3E-2</v>
      </c>
      <c r="P377" s="3">
        <v>34</v>
      </c>
      <c r="Q377" s="3">
        <v>38422.022320000004</v>
      </c>
      <c r="R377" s="3">
        <f t="shared" si="25"/>
        <v>33620.22</v>
      </c>
      <c r="S377" s="3">
        <v>4801.8023200000025</v>
      </c>
      <c r="T377" s="3">
        <f t="shared" si="26"/>
        <v>0.12497526236406606</v>
      </c>
      <c r="U377" s="3" t="str">
        <f t="shared" si="27"/>
        <v>Mar-2024</v>
      </c>
      <c r="AB377" s="3">
        <f t="shared" si="28"/>
        <v>33620.22</v>
      </c>
      <c r="AC377" s="3">
        <f t="shared" si="29"/>
        <v>38422.022320000004</v>
      </c>
    </row>
    <row r="378" spans="1:29" x14ac:dyDescent="0.35">
      <c r="A378" s="3" t="s">
        <v>390</v>
      </c>
      <c r="B378" s="4">
        <v>45835</v>
      </c>
      <c r="C378" s="4">
        <v>45849</v>
      </c>
      <c r="D378" s="5">
        <v>14</v>
      </c>
      <c r="E378" s="3" t="s">
        <v>647</v>
      </c>
      <c r="F378" s="3" t="s">
        <v>659</v>
      </c>
      <c r="G378" s="3" t="s">
        <v>685</v>
      </c>
      <c r="H378" s="3" t="s">
        <v>705</v>
      </c>
      <c r="I378" s="3" t="s">
        <v>709</v>
      </c>
      <c r="J378" s="3" t="s">
        <v>716</v>
      </c>
      <c r="K378" s="3" t="s">
        <v>729</v>
      </c>
      <c r="L378" s="3" t="s">
        <v>1110</v>
      </c>
      <c r="M378" s="3">
        <v>1227.7</v>
      </c>
      <c r="N378" s="3">
        <v>2197.23</v>
      </c>
      <c r="O378" s="3">
        <v>9.9000000000000005E-2</v>
      </c>
      <c r="P378" s="3">
        <v>22</v>
      </c>
      <c r="Q378" s="3">
        <v>43553.493060000001</v>
      </c>
      <c r="R378" s="3">
        <f t="shared" si="25"/>
        <v>27009.4</v>
      </c>
      <c r="S378" s="3">
        <v>16544.093059999999</v>
      </c>
      <c r="T378" s="3">
        <f t="shared" si="26"/>
        <v>0.37985685871873898</v>
      </c>
      <c r="U378" s="3" t="str">
        <f t="shared" si="27"/>
        <v>Jun-2025</v>
      </c>
      <c r="AB378" s="3">
        <f t="shared" si="28"/>
        <v>27009.4</v>
      </c>
      <c r="AC378" s="3">
        <f t="shared" si="29"/>
        <v>43553.493060000001</v>
      </c>
    </row>
    <row r="379" spans="1:29" x14ac:dyDescent="0.35">
      <c r="A379" s="3" t="s">
        <v>391</v>
      </c>
      <c r="B379" s="4">
        <v>44998</v>
      </c>
      <c r="C379" s="4">
        <v>45020</v>
      </c>
      <c r="D379" s="5">
        <v>22</v>
      </c>
      <c r="E379" s="3" t="s">
        <v>646</v>
      </c>
      <c r="F379" s="3" t="s">
        <v>661</v>
      </c>
      <c r="G379" s="3" t="s">
        <v>687</v>
      </c>
      <c r="H379" s="3" t="s">
        <v>705</v>
      </c>
      <c r="I379" s="3" t="s">
        <v>707</v>
      </c>
      <c r="J379" s="3" t="s">
        <v>720</v>
      </c>
      <c r="K379" s="3" t="s">
        <v>727</v>
      </c>
      <c r="L379" s="3" t="s">
        <v>1111</v>
      </c>
      <c r="M379" s="3">
        <v>1113.7</v>
      </c>
      <c r="N379" s="3">
        <v>1620.6</v>
      </c>
      <c r="O379" s="3">
        <v>0.13900000000000001</v>
      </c>
      <c r="P379" s="3">
        <v>11</v>
      </c>
      <c r="Q379" s="3">
        <v>15348.702599999999</v>
      </c>
      <c r="R379" s="3">
        <f t="shared" si="25"/>
        <v>12250.7</v>
      </c>
      <c r="S379" s="3">
        <v>3098.002599999998</v>
      </c>
      <c r="T379" s="3">
        <f t="shared" si="26"/>
        <v>0.20184133348182787</v>
      </c>
      <c r="U379" s="3" t="str">
        <f t="shared" si="27"/>
        <v>Mar-2023</v>
      </c>
      <c r="AB379" s="3">
        <f t="shared" si="28"/>
        <v>12250.7</v>
      </c>
      <c r="AC379" s="3">
        <f t="shared" si="29"/>
        <v>15348.702599999999</v>
      </c>
    </row>
    <row r="380" spans="1:29" x14ac:dyDescent="0.35">
      <c r="A380" s="3" t="s">
        <v>392</v>
      </c>
      <c r="B380" s="4">
        <v>45664</v>
      </c>
      <c r="C380" s="4">
        <v>45677</v>
      </c>
      <c r="D380" s="5">
        <v>13</v>
      </c>
      <c r="E380" s="3" t="s">
        <v>646</v>
      </c>
      <c r="F380" s="3" t="s">
        <v>661</v>
      </c>
      <c r="G380" s="3" t="s">
        <v>695</v>
      </c>
      <c r="H380" s="3" t="s">
        <v>701</v>
      </c>
      <c r="I380" s="3" t="s">
        <v>711</v>
      </c>
      <c r="J380" s="3" t="s">
        <v>723</v>
      </c>
      <c r="K380" s="3" t="s">
        <v>729</v>
      </c>
      <c r="L380" s="3" t="s">
        <v>1112</v>
      </c>
      <c r="M380" s="3">
        <v>432.13</v>
      </c>
      <c r="N380" s="3">
        <v>1034.6600000000001</v>
      </c>
      <c r="O380" s="3">
        <v>9.1999999999999998E-2</v>
      </c>
      <c r="P380" s="3">
        <v>7</v>
      </c>
      <c r="Q380" s="3">
        <v>6576.298960000001</v>
      </c>
      <c r="R380" s="3">
        <f t="shared" si="25"/>
        <v>3024.91</v>
      </c>
      <c r="S380" s="3">
        <v>3551.3889600000011</v>
      </c>
      <c r="T380" s="3">
        <f t="shared" si="26"/>
        <v>0.54002851476204794</v>
      </c>
      <c r="U380" s="3" t="str">
        <f t="shared" si="27"/>
        <v>Jan-2025</v>
      </c>
      <c r="AB380" s="3">
        <f t="shared" si="28"/>
        <v>3024.91</v>
      </c>
      <c r="AC380" s="3">
        <f t="shared" si="29"/>
        <v>6576.298960000001</v>
      </c>
    </row>
    <row r="381" spans="1:29" x14ac:dyDescent="0.35">
      <c r="A381" s="3" t="s">
        <v>393</v>
      </c>
      <c r="B381" s="4">
        <v>45694</v>
      </c>
      <c r="C381" s="4">
        <v>45703</v>
      </c>
      <c r="D381" s="5">
        <v>9</v>
      </c>
      <c r="E381" s="3" t="s">
        <v>648</v>
      </c>
      <c r="F381" s="3" t="s">
        <v>655</v>
      </c>
      <c r="G381" s="3" t="s">
        <v>670</v>
      </c>
      <c r="H381" s="3" t="s">
        <v>703</v>
      </c>
      <c r="I381" s="3" t="s">
        <v>710</v>
      </c>
      <c r="J381" s="3" t="s">
        <v>721</v>
      </c>
      <c r="K381" s="3" t="s">
        <v>729</v>
      </c>
      <c r="L381" s="3" t="s">
        <v>1113</v>
      </c>
      <c r="M381" s="3">
        <v>837.39</v>
      </c>
      <c r="N381" s="3">
        <v>1905.42</v>
      </c>
      <c r="O381" s="3">
        <v>3.2000000000000001E-2</v>
      </c>
      <c r="P381" s="3">
        <v>18</v>
      </c>
      <c r="Q381" s="3">
        <v>33200.038079999998</v>
      </c>
      <c r="R381" s="3">
        <f t="shared" si="25"/>
        <v>15073.02</v>
      </c>
      <c r="S381" s="3">
        <v>18127.018079999998</v>
      </c>
      <c r="T381" s="3">
        <f t="shared" si="26"/>
        <v>0.54599389423350919</v>
      </c>
      <c r="U381" s="3" t="str">
        <f t="shared" si="27"/>
        <v>Feb-2025</v>
      </c>
      <c r="AB381" s="3">
        <f t="shared" si="28"/>
        <v>15073.02</v>
      </c>
      <c r="AC381" s="3">
        <f t="shared" si="29"/>
        <v>33200.038079999998</v>
      </c>
    </row>
    <row r="382" spans="1:29" x14ac:dyDescent="0.35">
      <c r="A382" s="3" t="s">
        <v>394</v>
      </c>
      <c r="B382" s="4">
        <v>45688</v>
      </c>
      <c r="C382" s="4">
        <v>45705</v>
      </c>
      <c r="D382" s="5">
        <v>17</v>
      </c>
      <c r="E382" s="3" t="s">
        <v>649</v>
      </c>
      <c r="F382" s="3" t="s">
        <v>658</v>
      </c>
      <c r="G382" s="3" t="s">
        <v>683</v>
      </c>
      <c r="H382" s="3" t="s">
        <v>706</v>
      </c>
      <c r="I382" s="3" t="s">
        <v>707</v>
      </c>
      <c r="J382" s="3" t="s">
        <v>722</v>
      </c>
      <c r="K382" s="3" t="s">
        <v>727</v>
      </c>
      <c r="L382" s="3" t="s">
        <v>812</v>
      </c>
      <c r="M382" s="3">
        <v>378.26</v>
      </c>
      <c r="N382" s="3">
        <v>541.55999999999995</v>
      </c>
      <c r="O382" s="3">
        <v>0.16300000000000001</v>
      </c>
      <c r="P382" s="3">
        <v>25</v>
      </c>
      <c r="Q382" s="3">
        <v>11332.142999999998</v>
      </c>
      <c r="R382" s="3">
        <f t="shared" si="25"/>
        <v>9456.5</v>
      </c>
      <c r="S382" s="3">
        <v>1875.6429999999982</v>
      </c>
      <c r="T382" s="3">
        <f t="shared" si="26"/>
        <v>0.16551529573885526</v>
      </c>
      <c r="U382" s="3" t="str">
        <f t="shared" si="27"/>
        <v>Jan-2025</v>
      </c>
      <c r="AB382" s="3">
        <f t="shared" si="28"/>
        <v>9456.5</v>
      </c>
      <c r="AC382" s="3">
        <f t="shared" si="29"/>
        <v>11332.142999999998</v>
      </c>
    </row>
    <row r="383" spans="1:29" x14ac:dyDescent="0.35">
      <c r="A383" s="3" t="s">
        <v>395</v>
      </c>
      <c r="B383" s="4">
        <v>45876</v>
      </c>
      <c r="C383" s="4">
        <v>45906</v>
      </c>
      <c r="D383" s="5">
        <v>30</v>
      </c>
      <c r="E383" s="3" t="s">
        <v>648</v>
      </c>
      <c r="F383" s="3" t="s">
        <v>653</v>
      </c>
      <c r="G383" s="3" t="s">
        <v>681</v>
      </c>
      <c r="H383" s="3" t="s">
        <v>702</v>
      </c>
      <c r="I383" s="3" t="s">
        <v>711</v>
      </c>
      <c r="J383" s="3" t="s">
        <v>724</v>
      </c>
      <c r="K383" s="3" t="s">
        <v>729</v>
      </c>
      <c r="L383" s="3" t="s">
        <v>1114</v>
      </c>
      <c r="M383" s="3">
        <v>833.73</v>
      </c>
      <c r="N383" s="3">
        <v>1116.5999999999999</v>
      </c>
      <c r="O383" s="3">
        <v>0.17599999999999999</v>
      </c>
      <c r="P383" s="3">
        <v>14</v>
      </c>
      <c r="Q383" s="3">
        <v>12881.097599999999</v>
      </c>
      <c r="R383" s="3">
        <f t="shared" si="25"/>
        <v>11672.220000000001</v>
      </c>
      <c r="S383" s="3">
        <v>1208.877599999998</v>
      </c>
      <c r="T383" s="3">
        <f t="shared" si="26"/>
        <v>9.3848958958279924E-2</v>
      </c>
      <c r="U383" s="3" t="str">
        <f t="shared" si="27"/>
        <v>Aug-2025</v>
      </c>
      <c r="AB383" s="3">
        <f t="shared" si="28"/>
        <v>11672.220000000001</v>
      </c>
      <c r="AC383" s="3">
        <f t="shared" si="29"/>
        <v>12881.097599999999</v>
      </c>
    </row>
    <row r="384" spans="1:29" x14ac:dyDescent="0.35">
      <c r="A384" s="3" t="s">
        <v>396</v>
      </c>
      <c r="B384" s="4">
        <v>45861</v>
      </c>
      <c r="C384" s="4">
        <v>45886</v>
      </c>
      <c r="D384" s="5">
        <v>25</v>
      </c>
      <c r="E384" s="3" t="s">
        <v>649</v>
      </c>
      <c r="F384" s="3" t="s">
        <v>658</v>
      </c>
      <c r="G384" s="3" t="s">
        <v>674</v>
      </c>
      <c r="H384" s="3" t="s">
        <v>702</v>
      </c>
      <c r="I384" s="3" t="s">
        <v>708</v>
      </c>
      <c r="J384" s="3" t="s">
        <v>714</v>
      </c>
      <c r="K384" s="3" t="s">
        <v>728</v>
      </c>
      <c r="L384" s="3" t="s">
        <v>1115</v>
      </c>
      <c r="M384" s="3">
        <v>1142.06</v>
      </c>
      <c r="N384" s="3">
        <v>1455</v>
      </c>
      <c r="O384" s="3">
        <v>7.8E-2</v>
      </c>
      <c r="P384" s="3">
        <v>28</v>
      </c>
      <c r="Q384" s="3">
        <v>37562.28</v>
      </c>
      <c r="R384" s="3">
        <f t="shared" si="25"/>
        <v>31977.68</v>
      </c>
      <c r="S384" s="3">
        <v>5584.5999999999985</v>
      </c>
      <c r="T384" s="3">
        <f t="shared" si="26"/>
        <v>0.1486757459877302</v>
      </c>
      <c r="U384" s="3" t="str">
        <f t="shared" si="27"/>
        <v>Jul-2025</v>
      </c>
      <c r="AB384" s="3">
        <f t="shared" si="28"/>
        <v>31977.68</v>
      </c>
      <c r="AC384" s="3">
        <f t="shared" si="29"/>
        <v>37562.28</v>
      </c>
    </row>
    <row r="385" spans="1:29" x14ac:dyDescent="0.35">
      <c r="A385" s="3" t="s">
        <v>397</v>
      </c>
      <c r="B385" s="4">
        <v>45097</v>
      </c>
      <c r="C385" s="4">
        <v>45115</v>
      </c>
      <c r="D385" s="5">
        <v>18</v>
      </c>
      <c r="E385" s="3" t="s">
        <v>648</v>
      </c>
      <c r="F385" s="3" t="s">
        <v>660</v>
      </c>
      <c r="G385" s="3" t="s">
        <v>700</v>
      </c>
      <c r="H385" s="3" t="s">
        <v>704</v>
      </c>
      <c r="I385" s="3" t="s">
        <v>709</v>
      </c>
      <c r="J385" s="3" t="s">
        <v>719</v>
      </c>
      <c r="K385" s="3" t="s">
        <v>729</v>
      </c>
      <c r="L385" s="3" t="s">
        <v>1116</v>
      </c>
      <c r="M385" s="3">
        <v>1145.53</v>
      </c>
      <c r="N385" s="3">
        <v>1278.3</v>
      </c>
      <c r="O385" s="3">
        <v>0.09</v>
      </c>
      <c r="P385" s="3">
        <v>41</v>
      </c>
      <c r="Q385" s="3">
        <v>47693.373</v>
      </c>
      <c r="R385" s="3">
        <f t="shared" si="25"/>
        <v>46966.729999999996</v>
      </c>
      <c r="S385" s="3">
        <v>726.64300000000367</v>
      </c>
      <c r="T385" s="3">
        <f t="shared" si="26"/>
        <v>1.5235722581416158E-2</v>
      </c>
      <c r="U385" s="3" t="str">
        <f t="shared" si="27"/>
        <v>Jun-2023</v>
      </c>
      <c r="AB385" s="3">
        <f t="shared" si="28"/>
        <v>46966.729999999996</v>
      </c>
      <c r="AC385" s="3">
        <f t="shared" si="29"/>
        <v>47693.373</v>
      </c>
    </row>
    <row r="386" spans="1:29" x14ac:dyDescent="0.35">
      <c r="A386" s="3" t="s">
        <v>398</v>
      </c>
      <c r="B386" s="4">
        <v>45491</v>
      </c>
      <c r="C386" s="4">
        <v>45511</v>
      </c>
      <c r="D386" s="5">
        <v>20</v>
      </c>
      <c r="E386" s="3" t="s">
        <v>649</v>
      </c>
      <c r="F386" s="3" t="s">
        <v>657</v>
      </c>
      <c r="G386" s="3" t="s">
        <v>673</v>
      </c>
      <c r="H386" s="3" t="s">
        <v>701</v>
      </c>
      <c r="I386" s="3" t="s">
        <v>707</v>
      </c>
      <c r="J386" s="3" t="s">
        <v>721</v>
      </c>
      <c r="K386" s="3" t="s">
        <v>732</v>
      </c>
      <c r="L386" s="3" t="s">
        <v>1117</v>
      </c>
      <c r="M386" s="3">
        <v>941.35</v>
      </c>
      <c r="N386" s="3">
        <v>899.83</v>
      </c>
      <c r="O386" s="3">
        <v>5.8000000000000003E-2</v>
      </c>
      <c r="P386" s="3">
        <v>18</v>
      </c>
      <c r="Q386" s="3">
        <v>15257.51748</v>
      </c>
      <c r="R386" s="3">
        <f t="shared" si="25"/>
        <v>16944.3</v>
      </c>
      <c r="S386" s="3">
        <v>1686.7825199999988</v>
      </c>
      <c r="T386" s="3">
        <f t="shared" si="26"/>
        <v>0.11055419220139073</v>
      </c>
      <c r="U386" s="3" t="str">
        <f t="shared" si="27"/>
        <v>Jul-2024</v>
      </c>
      <c r="AB386" s="3">
        <f t="shared" si="28"/>
        <v>16944.3</v>
      </c>
      <c r="AC386" s="3">
        <f t="shared" si="29"/>
        <v>15257.51748</v>
      </c>
    </row>
    <row r="387" spans="1:29" x14ac:dyDescent="0.35">
      <c r="A387" s="3" t="s">
        <v>399</v>
      </c>
      <c r="B387" s="4">
        <v>45066</v>
      </c>
      <c r="C387" s="4">
        <v>45096</v>
      </c>
      <c r="D387" s="5">
        <v>30</v>
      </c>
      <c r="E387" s="3" t="s">
        <v>647</v>
      </c>
      <c r="F387" s="3" t="s">
        <v>654</v>
      </c>
      <c r="G387" s="3" t="s">
        <v>680</v>
      </c>
      <c r="H387" s="3" t="s">
        <v>703</v>
      </c>
      <c r="I387" s="3" t="s">
        <v>709</v>
      </c>
      <c r="J387" s="3" t="s">
        <v>722</v>
      </c>
      <c r="K387" s="3" t="s">
        <v>731</v>
      </c>
      <c r="L387" s="3" t="s">
        <v>1118</v>
      </c>
      <c r="M387" s="3">
        <v>1161.2</v>
      </c>
      <c r="N387" s="3">
        <v>878.73</v>
      </c>
      <c r="O387" s="3">
        <v>0.19</v>
      </c>
      <c r="P387" s="3">
        <v>31</v>
      </c>
      <c r="Q387" s="3">
        <v>22064.910300000003</v>
      </c>
      <c r="R387" s="3">
        <f t="shared" ref="R387:R450" si="30">M387*P387</f>
        <v>35997.200000000004</v>
      </c>
      <c r="S387" s="3">
        <v>13932.289700000001</v>
      </c>
      <c r="T387" s="3">
        <f t="shared" ref="T387:T450" si="31">IF(Q387=0,0,S387/Q387)</f>
        <v>0.63142290227212028</v>
      </c>
      <c r="U387" s="3" t="str">
        <f t="shared" ref="U387:U450" si="32">TEXT(B387, "mmm-yyyy")</f>
        <v>May-2023</v>
      </c>
      <c r="AB387" s="3">
        <f t="shared" ref="AB387:AB450" si="33">M387 * P387 * (1+ $AF$2)</f>
        <v>35997.200000000004</v>
      </c>
      <c r="AC387" s="3">
        <f t="shared" ref="AC387:AC450" si="34">N387 * P387 * (1- MIN(O387, $AF$3))</f>
        <v>22064.910300000003</v>
      </c>
    </row>
    <row r="388" spans="1:29" x14ac:dyDescent="0.35">
      <c r="A388" s="3" t="s">
        <v>400</v>
      </c>
      <c r="B388" s="4">
        <v>45789</v>
      </c>
      <c r="C388" s="4">
        <v>45803</v>
      </c>
      <c r="D388" s="5">
        <v>14</v>
      </c>
      <c r="E388" s="3" t="s">
        <v>647</v>
      </c>
      <c r="F388" s="3" t="s">
        <v>654</v>
      </c>
      <c r="G388" s="3" t="s">
        <v>696</v>
      </c>
      <c r="H388" s="3" t="s">
        <v>701</v>
      </c>
      <c r="I388" s="3" t="s">
        <v>709</v>
      </c>
      <c r="J388" s="3" t="s">
        <v>715</v>
      </c>
      <c r="K388" s="3" t="s">
        <v>728</v>
      </c>
      <c r="L388" s="3" t="s">
        <v>1119</v>
      </c>
      <c r="M388" s="3">
        <v>320.12</v>
      </c>
      <c r="N388" s="3">
        <v>594.41999999999996</v>
      </c>
      <c r="O388" s="3">
        <v>0.104</v>
      </c>
      <c r="P388" s="3">
        <v>18</v>
      </c>
      <c r="Q388" s="3">
        <v>9586.8057599999993</v>
      </c>
      <c r="R388" s="3">
        <f t="shared" si="30"/>
        <v>5762.16</v>
      </c>
      <c r="S388" s="3">
        <v>3824.6457599999994</v>
      </c>
      <c r="T388" s="3">
        <f t="shared" si="31"/>
        <v>0.39894891538931104</v>
      </c>
      <c r="U388" s="3" t="str">
        <f t="shared" si="32"/>
        <v>May-2025</v>
      </c>
      <c r="AB388" s="3">
        <f t="shared" si="33"/>
        <v>5762.16</v>
      </c>
      <c r="AC388" s="3">
        <f t="shared" si="34"/>
        <v>9586.8057599999993</v>
      </c>
    </row>
    <row r="389" spans="1:29" x14ac:dyDescent="0.35">
      <c r="A389" s="3" t="s">
        <v>401</v>
      </c>
      <c r="B389" s="4">
        <v>45419</v>
      </c>
      <c r="C389" s="4">
        <v>45424</v>
      </c>
      <c r="D389" s="5">
        <v>5</v>
      </c>
      <c r="E389" s="3" t="s">
        <v>646</v>
      </c>
      <c r="F389" s="3" t="s">
        <v>651</v>
      </c>
      <c r="G389" s="3" t="s">
        <v>669</v>
      </c>
      <c r="H389" s="3" t="s">
        <v>703</v>
      </c>
      <c r="I389" s="3" t="s">
        <v>710</v>
      </c>
      <c r="J389" s="3" t="s">
        <v>716</v>
      </c>
      <c r="K389" s="3" t="s">
        <v>731</v>
      </c>
      <c r="L389" s="3" t="s">
        <v>1120</v>
      </c>
      <c r="M389" s="3">
        <v>1163.99</v>
      </c>
      <c r="N389" s="3">
        <v>1617.85</v>
      </c>
      <c r="O389" s="3">
        <v>0.127</v>
      </c>
      <c r="P389" s="3">
        <v>14</v>
      </c>
      <c r="Q389" s="3">
        <v>19773.362699999998</v>
      </c>
      <c r="R389" s="3">
        <f t="shared" si="30"/>
        <v>16295.86</v>
      </c>
      <c r="S389" s="3">
        <v>3477.5026999999973</v>
      </c>
      <c r="T389" s="3">
        <f t="shared" si="31"/>
        <v>0.17586804797749436</v>
      </c>
      <c r="U389" s="3" t="str">
        <f t="shared" si="32"/>
        <v>May-2024</v>
      </c>
      <c r="AB389" s="3">
        <f t="shared" si="33"/>
        <v>16295.86</v>
      </c>
      <c r="AC389" s="3">
        <f t="shared" si="34"/>
        <v>19773.362699999998</v>
      </c>
    </row>
    <row r="390" spans="1:29" x14ac:dyDescent="0.35">
      <c r="A390" s="3" t="s">
        <v>402</v>
      </c>
      <c r="B390" s="4">
        <v>45199</v>
      </c>
      <c r="C390" s="4">
        <v>45202</v>
      </c>
      <c r="D390" s="5">
        <v>3</v>
      </c>
      <c r="E390" s="3" t="s">
        <v>647</v>
      </c>
      <c r="F390" s="3" t="s">
        <v>659</v>
      </c>
      <c r="G390" s="3" t="s">
        <v>699</v>
      </c>
      <c r="H390" s="3" t="s">
        <v>703</v>
      </c>
      <c r="I390" s="3" t="s">
        <v>707</v>
      </c>
      <c r="J390" s="3" t="s">
        <v>713</v>
      </c>
      <c r="K390" s="3" t="s">
        <v>731</v>
      </c>
      <c r="L390" s="3" t="s">
        <v>1121</v>
      </c>
      <c r="M390" s="3">
        <v>1019.36</v>
      </c>
      <c r="N390" s="3">
        <v>972.91</v>
      </c>
      <c r="O390" s="3">
        <v>0.14699999999999999</v>
      </c>
      <c r="P390" s="3">
        <v>17</v>
      </c>
      <c r="Q390" s="3">
        <v>14108.16791</v>
      </c>
      <c r="R390" s="3">
        <f t="shared" si="30"/>
        <v>17329.12</v>
      </c>
      <c r="S390" s="3">
        <v>3220.9520899999989</v>
      </c>
      <c r="T390" s="3">
        <f t="shared" si="31"/>
        <v>0.22830406545678819</v>
      </c>
      <c r="U390" s="3" t="str">
        <f t="shared" si="32"/>
        <v>Sep-2023</v>
      </c>
      <c r="AB390" s="3">
        <f t="shared" si="33"/>
        <v>17329.12</v>
      </c>
      <c r="AC390" s="3">
        <f t="shared" si="34"/>
        <v>14108.16791</v>
      </c>
    </row>
    <row r="391" spans="1:29" x14ac:dyDescent="0.35">
      <c r="A391" s="3" t="s">
        <v>403</v>
      </c>
      <c r="B391" s="4">
        <v>45225</v>
      </c>
      <c r="C391" s="4">
        <v>45235</v>
      </c>
      <c r="D391" s="5">
        <v>10</v>
      </c>
      <c r="E391" s="3" t="s">
        <v>646</v>
      </c>
      <c r="F391" s="3" t="s">
        <v>661</v>
      </c>
      <c r="G391" s="3" t="s">
        <v>695</v>
      </c>
      <c r="H391" s="3" t="s">
        <v>703</v>
      </c>
      <c r="I391" s="3" t="s">
        <v>708</v>
      </c>
      <c r="J391" s="3" t="s">
        <v>714</v>
      </c>
      <c r="K391" s="3" t="s">
        <v>731</v>
      </c>
      <c r="L391" s="3" t="s">
        <v>1122</v>
      </c>
      <c r="M391" s="3">
        <v>20.38</v>
      </c>
      <c r="N391" s="3">
        <v>42.56</v>
      </c>
      <c r="O391" s="3">
        <v>7.1999999999999995E-2</v>
      </c>
      <c r="P391" s="3">
        <v>11</v>
      </c>
      <c r="Q391" s="3">
        <v>434.45248000000004</v>
      </c>
      <c r="R391" s="3">
        <f t="shared" si="30"/>
        <v>224.17999999999998</v>
      </c>
      <c r="S391" s="3">
        <v>210.27248000000006</v>
      </c>
      <c r="T391" s="3">
        <f t="shared" si="31"/>
        <v>0.48399419885921713</v>
      </c>
      <c r="U391" s="3" t="str">
        <f t="shared" si="32"/>
        <v>Oct-2023</v>
      </c>
      <c r="AB391" s="3">
        <f t="shared" si="33"/>
        <v>224.17999999999998</v>
      </c>
      <c r="AC391" s="3">
        <f t="shared" si="34"/>
        <v>434.45248000000004</v>
      </c>
    </row>
    <row r="392" spans="1:29" x14ac:dyDescent="0.35">
      <c r="A392" s="3" t="s">
        <v>404</v>
      </c>
      <c r="B392" s="4">
        <v>45823</v>
      </c>
      <c r="C392" s="4">
        <v>45838</v>
      </c>
      <c r="D392" s="5">
        <v>15</v>
      </c>
      <c r="E392" s="3" t="s">
        <v>646</v>
      </c>
      <c r="F392" s="3" t="s">
        <v>661</v>
      </c>
      <c r="G392" s="3" t="s">
        <v>682</v>
      </c>
      <c r="H392" s="3" t="s">
        <v>705</v>
      </c>
      <c r="I392" s="3" t="s">
        <v>711</v>
      </c>
      <c r="J392" s="3" t="s">
        <v>712</v>
      </c>
      <c r="K392" s="3" t="s">
        <v>732</v>
      </c>
      <c r="L392" s="3" t="s">
        <v>1123</v>
      </c>
      <c r="M392" s="3">
        <v>1487.59</v>
      </c>
      <c r="N392" s="3">
        <v>1480.83</v>
      </c>
      <c r="O392" s="3">
        <v>8.9999999999999993E-3</v>
      </c>
      <c r="P392" s="3">
        <v>11</v>
      </c>
      <c r="Q392" s="3">
        <v>16142.527829999999</v>
      </c>
      <c r="R392" s="3">
        <f t="shared" si="30"/>
        <v>16363.49</v>
      </c>
      <c r="S392" s="3">
        <v>220.9621700000007</v>
      </c>
      <c r="T392" s="3">
        <f t="shared" si="31"/>
        <v>1.3688201273492908E-2</v>
      </c>
      <c r="U392" s="3" t="str">
        <f t="shared" si="32"/>
        <v>Jun-2025</v>
      </c>
      <c r="AB392" s="3">
        <f t="shared" si="33"/>
        <v>16363.49</v>
      </c>
      <c r="AC392" s="3">
        <f t="shared" si="34"/>
        <v>16142.527829999999</v>
      </c>
    </row>
    <row r="393" spans="1:29" x14ac:dyDescent="0.35">
      <c r="A393" s="3" t="s">
        <v>405</v>
      </c>
      <c r="B393" s="4">
        <v>45514</v>
      </c>
      <c r="C393" s="4">
        <v>45542</v>
      </c>
      <c r="D393" s="5">
        <v>28</v>
      </c>
      <c r="E393" s="3" t="s">
        <v>649</v>
      </c>
      <c r="F393" s="3" t="s">
        <v>657</v>
      </c>
      <c r="G393" s="3" t="s">
        <v>673</v>
      </c>
      <c r="H393" s="3" t="s">
        <v>703</v>
      </c>
      <c r="I393" s="3" t="s">
        <v>711</v>
      </c>
      <c r="J393" s="3" t="s">
        <v>721</v>
      </c>
      <c r="K393" s="3" t="s">
        <v>728</v>
      </c>
      <c r="L393" s="3" t="s">
        <v>1124</v>
      </c>
      <c r="M393" s="3">
        <v>229.96</v>
      </c>
      <c r="N393" s="3">
        <v>564.26</v>
      </c>
      <c r="O393" s="3">
        <v>0.105</v>
      </c>
      <c r="P393" s="3">
        <v>5</v>
      </c>
      <c r="Q393" s="3">
        <v>2525.0635000000002</v>
      </c>
      <c r="R393" s="3">
        <f t="shared" si="30"/>
        <v>1149.8</v>
      </c>
      <c r="S393" s="3">
        <v>1375.2635000000002</v>
      </c>
      <c r="T393" s="3">
        <f t="shared" si="31"/>
        <v>0.54464511486542821</v>
      </c>
      <c r="U393" s="3" t="str">
        <f t="shared" si="32"/>
        <v>Aug-2024</v>
      </c>
      <c r="AB393" s="3">
        <f t="shared" si="33"/>
        <v>1149.8</v>
      </c>
      <c r="AC393" s="3">
        <f t="shared" si="34"/>
        <v>2525.0635000000002</v>
      </c>
    </row>
    <row r="394" spans="1:29" x14ac:dyDescent="0.35">
      <c r="A394" s="3" t="s">
        <v>406</v>
      </c>
      <c r="B394" s="4">
        <v>45208</v>
      </c>
      <c r="C394" s="4">
        <v>45225</v>
      </c>
      <c r="D394" s="5">
        <v>17</v>
      </c>
      <c r="E394" s="3" t="s">
        <v>647</v>
      </c>
      <c r="F394" s="3" t="s">
        <v>659</v>
      </c>
      <c r="G394" s="3" t="s">
        <v>685</v>
      </c>
      <c r="H394" s="3" t="s">
        <v>704</v>
      </c>
      <c r="I394" s="3" t="s">
        <v>709</v>
      </c>
      <c r="J394" s="3" t="s">
        <v>712</v>
      </c>
      <c r="K394" s="3" t="s">
        <v>727</v>
      </c>
      <c r="L394" s="3" t="s">
        <v>1125</v>
      </c>
      <c r="M394" s="3">
        <v>1132.03</v>
      </c>
      <c r="N394" s="3">
        <v>2137.21</v>
      </c>
      <c r="O394" s="3">
        <v>0.35699999999999998</v>
      </c>
      <c r="P394" s="3">
        <v>35</v>
      </c>
      <c r="Q394" s="3">
        <v>48097.911050000002</v>
      </c>
      <c r="R394" s="3">
        <f t="shared" si="30"/>
        <v>39621.049999999996</v>
      </c>
      <c r="S394" s="3">
        <v>8476.8610500000068</v>
      </c>
      <c r="T394" s="3">
        <f t="shared" si="31"/>
        <v>0.17624177152284051</v>
      </c>
      <c r="U394" s="3" t="str">
        <f t="shared" si="32"/>
        <v>Oct-2023</v>
      </c>
      <c r="AB394" s="3">
        <f t="shared" si="33"/>
        <v>39621.049999999996</v>
      </c>
      <c r="AC394" s="3">
        <f t="shared" si="34"/>
        <v>59841.880000000005</v>
      </c>
    </row>
    <row r="395" spans="1:29" x14ac:dyDescent="0.35">
      <c r="A395" s="3" t="s">
        <v>407</v>
      </c>
      <c r="B395" s="4">
        <v>45360</v>
      </c>
      <c r="C395" s="4">
        <v>45377</v>
      </c>
      <c r="D395" s="5">
        <v>17</v>
      </c>
      <c r="E395" s="3" t="s">
        <v>648</v>
      </c>
      <c r="F395" s="3" t="s">
        <v>660</v>
      </c>
      <c r="G395" s="3" t="s">
        <v>686</v>
      </c>
      <c r="H395" s="3" t="s">
        <v>702</v>
      </c>
      <c r="I395" s="3" t="s">
        <v>711</v>
      </c>
      <c r="J395" s="3" t="s">
        <v>714</v>
      </c>
      <c r="K395" s="3" t="s">
        <v>730</v>
      </c>
      <c r="L395" s="3" t="s">
        <v>1126</v>
      </c>
      <c r="M395" s="3">
        <v>1137.4100000000001</v>
      </c>
      <c r="N395" s="3">
        <v>1680.93</v>
      </c>
      <c r="O395" s="3">
        <v>0.254</v>
      </c>
      <c r="P395" s="3">
        <v>9</v>
      </c>
      <c r="Q395" s="3">
        <v>11285.764020000001</v>
      </c>
      <c r="R395" s="3">
        <f t="shared" si="30"/>
        <v>10236.69</v>
      </c>
      <c r="S395" s="3">
        <v>1049.07402</v>
      </c>
      <c r="T395" s="3">
        <f t="shared" si="31"/>
        <v>9.2955516183121464E-2</v>
      </c>
      <c r="U395" s="3" t="str">
        <f t="shared" si="32"/>
        <v>Mar-2024</v>
      </c>
      <c r="AB395" s="3">
        <f t="shared" si="33"/>
        <v>10236.69</v>
      </c>
      <c r="AC395" s="3">
        <f t="shared" si="34"/>
        <v>12102.696000000002</v>
      </c>
    </row>
    <row r="396" spans="1:29" x14ac:dyDescent="0.35">
      <c r="A396" s="3" t="s">
        <v>408</v>
      </c>
      <c r="B396" s="4">
        <v>45075</v>
      </c>
      <c r="C396" s="4">
        <v>45097</v>
      </c>
      <c r="D396" s="5">
        <v>22</v>
      </c>
      <c r="E396" s="3" t="s">
        <v>649</v>
      </c>
      <c r="F396" s="3" t="s">
        <v>658</v>
      </c>
      <c r="G396" s="3" t="s">
        <v>683</v>
      </c>
      <c r="H396" s="3" t="s">
        <v>705</v>
      </c>
      <c r="I396" s="3" t="s">
        <v>711</v>
      </c>
      <c r="J396" s="3" t="s">
        <v>723</v>
      </c>
      <c r="K396" s="3" t="s">
        <v>727</v>
      </c>
      <c r="L396" s="3" t="s">
        <v>1127</v>
      </c>
      <c r="M396" s="3">
        <v>1295.3900000000001</v>
      </c>
      <c r="N396" s="3">
        <v>2905.06</v>
      </c>
      <c r="O396" s="3">
        <v>0.14799999999999999</v>
      </c>
      <c r="P396" s="3">
        <v>8</v>
      </c>
      <c r="Q396" s="3">
        <v>19800.88896</v>
      </c>
      <c r="R396" s="3">
        <f t="shared" si="30"/>
        <v>10363.120000000001</v>
      </c>
      <c r="S396" s="3">
        <v>9437.7689599999994</v>
      </c>
      <c r="T396" s="3">
        <f t="shared" si="31"/>
        <v>0.47663359857556614</v>
      </c>
      <c r="U396" s="3" t="str">
        <f t="shared" si="32"/>
        <v>May-2023</v>
      </c>
      <c r="AB396" s="3">
        <f t="shared" si="33"/>
        <v>10363.120000000001</v>
      </c>
      <c r="AC396" s="3">
        <f t="shared" si="34"/>
        <v>19800.88896</v>
      </c>
    </row>
    <row r="397" spans="1:29" x14ac:dyDescent="0.35">
      <c r="A397" s="3" t="s">
        <v>409</v>
      </c>
      <c r="B397" s="4">
        <v>45804</v>
      </c>
      <c r="C397" s="4">
        <v>45816</v>
      </c>
      <c r="D397" s="5">
        <v>12</v>
      </c>
      <c r="E397" s="3" t="s">
        <v>647</v>
      </c>
      <c r="F397" s="3" t="s">
        <v>652</v>
      </c>
      <c r="G397" s="3" t="s">
        <v>666</v>
      </c>
      <c r="H397" s="3" t="s">
        <v>701</v>
      </c>
      <c r="I397" s="3" t="s">
        <v>707</v>
      </c>
      <c r="J397" s="3" t="s">
        <v>722</v>
      </c>
      <c r="K397" s="3" t="s">
        <v>733</v>
      </c>
      <c r="L397" s="3" t="s">
        <v>1128</v>
      </c>
      <c r="M397" s="3">
        <v>653.6</v>
      </c>
      <c r="N397" s="3">
        <v>842.09</v>
      </c>
      <c r="O397" s="3">
        <v>9.8000000000000004E-2</v>
      </c>
      <c r="P397" s="3">
        <v>19</v>
      </c>
      <c r="Q397" s="3">
        <v>14431.738420000001</v>
      </c>
      <c r="R397" s="3">
        <f t="shared" si="30"/>
        <v>12418.4</v>
      </c>
      <c r="S397" s="3">
        <v>2013.3384200000019</v>
      </c>
      <c r="T397" s="3">
        <f t="shared" si="31"/>
        <v>0.13950768517324622</v>
      </c>
      <c r="U397" s="3" t="str">
        <f t="shared" si="32"/>
        <v>May-2025</v>
      </c>
      <c r="AB397" s="3">
        <f t="shared" si="33"/>
        <v>12418.4</v>
      </c>
      <c r="AC397" s="3">
        <f t="shared" si="34"/>
        <v>14431.738420000001</v>
      </c>
    </row>
    <row r="398" spans="1:29" x14ac:dyDescent="0.35">
      <c r="A398" s="3" t="s">
        <v>410</v>
      </c>
      <c r="B398" s="4">
        <v>45890</v>
      </c>
      <c r="C398" s="4">
        <v>45914</v>
      </c>
      <c r="D398" s="5">
        <v>24</v>
      </c>
      <c r="E398" s="3" t="s">
        <v>649</v>
      </c>
      <c r="F398" s="3" t="s">
        <v>656</v>
      </c>
      <c r="G398" s="3" t="s">
        <v>671</v>
      </c>
      <c r="H398" s="3" t="s">
        <v>703</v>
      </c>
      <c r="I398" s="3" t="s">
        <v>708</v>
      </c>
      <c r="J398" s="3" t="s">
        <v>720</v>
      </c>
      <c r="K398" s="3" t="s">
        <v>732</v>
      </c>
      <c r="L398" s="3" t="s">
        <v>1129</v>
      </c>
      <c r="M398" s="3">
        <v>1397.67</v>
      </c>
      <c r="N398" s="3">
        <v>3131.37</v>
      </c>
      <c r="O398" s="3">
        <v>0.10299999999999999</v>
      </c>
      <c r="P398" s="3">
        <v>20</v>
      </c>
      <c r="Q398" s="3">
        <v>56176.777799999996</v>
      </c>
      <c r="R398" s="3">
        <f t="shared" si="30"/>
        <v>27953.4</v>
      </c>
      <c r="S398" s="3">
        <v>28223.377799999995</v>
      </c>
      <c r="T398" s="3">
        <f t="shared" si="31"/>
        <v>0.50240293062874808</v>
      </c>
      <c r="U398" s="3" t="str">
        <f t="shared" si="32"/>
        <v>Aug-2025</v>
      </c>
      <c r="AB398" s="3">
        <f t="shared" si="33"/>
        <v>27953.4</v>
      </c>
      <c r="AC398" s="3">
        <f t="shared" si="34"/>
        <v>56176.777799999996</v>
      </c>
    </row>
    <row r="399" spans="1:29" x14ac:dyDescent="0.35">
      <c r="A399" s="3" t="s">
        <v>411</v>
      </c>
      <c r="B399" s="4">
        <v>45638</v>
      </c>
      <c r="C399" s="4">
        <v>45646</v>
      </c>
      <c r="D399" s="5">
        <v>8</v>
      </c>
      <c r="E399" s="3" t="s">
        <v>647</v>
      </c>
      <c r="F399" s="3" t="s">
        <v>652</v>
      </c>
      <c r="G399" s="3" t="s">
        <v>689</v>
      </c>
      <c r="H399" s="3" t="s">
        <v>701</v>
      </c>
      <c r="I399" s="3" t="s">
        <v>707</v>
      </c>
      <c r="J399" s="3" t="s">
        <v>717</v>
      </c>
      <c r="K399" s="3" t="s">
        <v>731</v>
      </c>
      <c r="L399" s="3" t="s">
        <v>1130</v>
      </c>
      <c r="M399" s="3">
        <v>1202.47</v>
      </c>
      <c r="N399" s="3">
        <v>1444.72</v>
      </c>
      <c r="O399" s="3">
        <v>0.24099999999999999</v>
      </c>
      <c r="P399" s="3">
        <v>17</v>
      </c>
      <c r="Q399" s="3">
        <v>18641.222160000001</v>
      </c>
      <c r="R399" s="3">
        <f t="shared" si="30"/>
        <v>20441.990000000002</v>
      </c>
      <c r="S399" s="3">
        <v>1800.7678400000004</v>
      </c>
      <c r="T399" s="3">
        <f t="shared" si="31"/>
        <v>9.6601382921343834E-2</v>
      </c>
      <c r="U399" s="3" t="str">
        <f t="shared" si="32"/>
        <v>Dec-2024</v>
      </c>
      <c r="AB399" s="3">
        <f t="shared" si="33"/>
        <v>20441.990000000002</v>
      </c>
      <c r="AC399" s="3">
        <f t="shared" si="34"/>
        <v>19648.192000000003</v>
      </c>
    </row>
    <row r="400" spans="1:29" x14ac:dyDescent="0.35">
      <c r="A400" s="3" t="s">
        <v>412</v>
      </c>
      <c r="B400" s="4">
        <v>45914</v>
      </c>
      <c r="C400" s="4">
        <v>45923</v>
      </c>
      <c r="D400" s="5">
        <v>9</v>
      </c>
      <c r="E400" s="3" t="s">
        <v>646</v>
      </c>
      <c r="F400" s="3" t="s">
        <v>661</v>
      </c>
      <c r="G400" s="3" t="s">
        <v>687</v>
      </c>
      <c r="H400" s="3" t="s">
        <v>703</v>
      </c>
      <c r="I400" s="3" t="s">
        <v>708</v>
      </c>
      <c r="J400" s="3" t="s">
        <v>726</v>
      </c>
      <c r="K400" s="3" t="s">
        <v>727</v>
      </c>
      <c r="L400" s="3" t="s">
        <v>1131</v>
      </c>
      <c r="M400" s="3">
        <v>1310.3</v>
      </c>
      <c r="N400" s="3">
        <v>2875.8</v>
      </c>
      <c r="O400" s="3">
        <v>8.3000000000000004E-2</v>
      </c>
      <c r="P400" s="3">
        <v>5</v>
      </c>
      <c r="Q400" s="3">
        <v>13185.543</v>
      </c>
      <c r="R400" s="3">
        <f t="shared" si="30"/>
        <v>6551.5</v>
      </c>
      <c r="S400" s="3">
        <v>6634.0429999999997</v>
      </c>
      <c r="T400" s="3">
        <f t="shared" si="31"/>
        <v>0.50313005691157353</v>
      </c>
      <c r="U400" s="3" t="str">
        <f t="shared" si="32"/>
        <v>Sep-2025</v>
      </c>
      <c r="AB400" s="3">
        <f t="shared" si="33"/>
        <v>6551.5</v>
      </c>
      <c r="AC400" s="3">
        <f t="shared" si="34"/>
        <v>13185.543</v>
      </c>
    </row>
    <row r="401" spans="1:29" x14ac:dyDescent="0.35">
      <c r="A401" s="3" t="s">
        <v>413</v>
      </c>
      <c r="B401" s="4">
        <v>45541</v>
      </c>
      <c r="C401" s="4">
        <v>45569</v>
      </c>
      <c r="D401" s="5">
        <v>28</v>
      </c>
      <c r="E401" s="3" t="s">
        <v>646</v>
      </c>
      <c r="F401" s="3" t="s">
        <v>661</v>
      </c>
      <c r="G401" s="3" t="s">
        <v>695</v>
      </c>
      <c r="H401" s="3" t="s">
        <v>701</v>
      </c>
      <c r="I401" s="3" t="s">
        <v>709</v>
      </c>
      <c r="J401" s="3" t="s">
        <v>726</v>
      </c>
      <c r="K401" s="3" t="s">
        <v>732</v>
      </c>
      <c r="L401" s="3" t="s">
        <v>1132</v>
      </c>
      <c r="M401" s="3">
        <v>1174.17</v>
      </c>
      <c r="N401" s="3">
        <v>1641.61</v>
      </c>
      <c r="O401" s="3">
        <v>0.122</v>
      </c>
      <c r="P401" s="3">
        <v>9</v>
      </c>
      <c r="Q401" s="3">
        <v>12972.00222</v>
      </c>
      <c r="R401" s="3">
        <f t="shared" si="30"/>
        <v>10567.53</v>
      </c>
      <c r="S401" s="3">
        <v>2404.4722199999997</v>
      </c>
      <c r="T401" s="3">
        <f t="shared" si="31"/>
        <v>0.18535860380079394</v>
      </c>
      <c r="U401" s="3" t="str">
        <f t="shared" si="32"/>
        <v>Sep-2024</v>
      </c>
      <c r="AB401" s="3">
        <f t="shared" si="33"/>
        <v>10567.53</v>
      </c>
      <c r="AC401" s="3">
        <f t="shared" si="34"/>
        <v>12972.00222</v>
      </c>
    </row>
    <row r="402" spans="1:29" x14ac:dyDescent="0.35">
      <c r="A402" s="3" t="s">
        <v>414</v>
      </c>
      <c r="B402" s="4">
        <v>45759</v>
      </c>
      <c r="C402" s="4">
        <v>45777</v>
      </c>
      <c r="D402" s="5">
        <v>18</v>
      </c>
      <c r="E402" s="3" t="s">
        <v>646</v>
      </c>
      <c r="F402" s="3" t="s">
        <v>650</v>
      </c>
      <c r="G402" s="3" t="s">
        <v>662</v>
      </c>
      <c r="H402" s="3" t="s">
        <v>701</v>
      </c>
      <c r="I402" s="3" t="s">
        <v>709</v>
      </c>
      <c r="J402" s="3" t="s">
        <v>721</v>
      </c>
      <c r="K402" s="3" t="s">
        <v>729</v>
      </c>
      <c r="L402" s="3" t="s">
        <v>1133</v>
      </c>
      <c r="M402" s="3">
        <v>1119.04</v>
      </c>
      <c r="N402" s="3">
        <v>1299.02</v>
      </c>
      <c r="O402" s="3">
        <v>2.5000000000000001E-2</v>
      </c>
      <c r="P402" s="3">
        <v>14</v>
      </c>
      <c r="Q402" s="3">
        <v>17731.623</v>
      </c>
      <c r="R402" s="3">
        <f t="shared" si="30"/>
        <v>15666.56</v>
      </c>
      <c r="S402" s="3">
        <v>2065.0630000000001</v>
      </c>
      <c r="T402" s="3">
        <f t="shared" si="31"/>
        <v>0.11646215352085933</v>
      </c>
      <c r="U402" s="3" t="str">
        <f t="shared" si="32"/>
        <v>Apr-2025</v>
      </c>
      <c r="AB402" s="3">
        <f t="shared" si="33"/>
        <v>15666.56</v>
      </c>
      <c r="AC402" s="3">
        <f t="shared" si="34"/>
        <v>17731.623</v>
      </c>
    </row>
    <row r="403" spans="1:29" x14ac:dyDescent="0.35">
      <c r="A403" s="3" t="s">
        <v>415</v>
      </c>
      <c r="B403" s="4">
        <v>45516</v>
      </c>
      <c r="C403" s="4">
        <v>45519</v>
      </c>
      <c r="D403" s="5">
        <v>3</v>
      </c>
      <c r="E403" s="3" t="s">
        <v>648</v>
      </c>
      <c r="F403" s="3" t="s">
        <v>660</v>
      </c>
      <c r="G403" s="3" t="s">
        <v>677</v>
      </c>
      <c r="H403" s="3" t="s">
        <v>701</v>
      </c>
      <c r="I403" s="3" t="s">
        <v>709</v>
      </c>
      <c r="J403" s="3" t="s">
        <v>726</v>
      </c>
      <c r="K403" s="3" t="s">
        <v>728</v>
      </c>
      <c r="L403" s="3" t="s">
        <v>1134</v>
      </c>
      <c r="M403" s="3">
        <v>850.7</v>
      </c>
      <c r="N403" s="3">
        <v>1118.56</v>
      </c>
      <c r="O403" s="3">
        <v>0.18</v>
      </c>
      <c r="P403" s="3">
        <v>19</v>
      </c>
      <c r="Q403" s="3">
        <v>17427.164800000002</v>
      </c>
      <c r="R403" s="3">
        <f t="shared" si="30"/>
        <v>16163.300000000001</v>
      </c>
      <c r="S403" s="3">
        <v>1263.8648000000012</v>
      </c>
      <c r="T403" s="3">
        <f t="shared" si="31"/>
        <v>7.2522685962090688E-2</v>
      </c>
      <c r="U403" s="3" t="str">
        <f t="shared" si="32"/>
        <v>Aug-2024</v>
      </c>
      <c r="AB403" s="3">
        <f t="shared" si="33"/>
        <v>16163.300000000001</v>
      </c>
      <c r="AC403" s="3">
        <f t="shared" si="34"/>
        <v>17427.164800000002</v>
      </c>
    </row>
    <row r="404" spans="1:29" x14ac:dyDescent="0.35">
      <c r="A404" s="3" t="s">
        <v>416</v>
      </c>
      <c r="B404" s="4">
        <v>45601</v>
      </c>
      <c r="C404" s="4">
        <v>45604</v>
      </c>
      <c r="D404" s="5">
        <v>3</v>
      </c>
      <c r="E404" s="3" t="s">
        <v>648</v>
      </c>
      <c r="F404" s="3" t="s">
        <v>653</v>
      </c>
      <c r="G404" s="3" t="s">
        <v>667</v>
      </c>
      <c r="H404" s="3" t="s">
        <v>702</v>
      </c>
      <c r="I404" s="3" t="s">
        <v>709</v>
      </c>
      <c r="J404" s="3" t="s">
        <v>719</v>
      </c>
      <c r="K404" s="3" t="s">
        <v>727</v>
      </c>
      <c r="L404" s="3" t="s">
        <v>1135</v>
      </c>
      <c r="M404" s="3">
        <v>1020.4</v>
      </c>
      <c r="N404" s="3">
        <v>1184.71</v>
      </c>
      <c r="O404" s="3">
        <v>0.106</v>
      </c>
      <c r="P404" s="3">
        <v>16</v>
      </c>
      <c r="Q404" s="3">
        <v>16946.091840000001</v>
      </c>
      <c r="R404" s="3">
        <f t="shared" si="30"/>
        <v>16326.4</v>
      </c>
      <c r="S404" s="3">
        <v>619.69184000000132</v>
      </c>
      <c r="T404" s="3">
        <f t="shared" si="31"/>
        <v>3.6568422138328345E-2</v>
      </c>
      <c r="U404" s="3" t="str">
        <f t="shared" si="32"/>
        <v>Nov-2024</v>
      </c>
      <c r="AB404" s="3">
        <f t="shared" si="33"/>
        <v>16326.4</v>
      </c>
      <c r="AC404" s="3">
        <f t="shared" si="34"/>
        <v>16946.091840000001</v>
      </c>
    </row>
    <row r="405" spans="1:29" x14ac:dyDescent="0.35">
      <c r="A405" s="3" t="s">
        <v>417</v>
      </c>
      <c r="B405" s="4">
        <v>45497</v>
      </c>
      <c r="C405" s="4">
        <v>45512</v>
      </c>
      <c r="D405" s="5">
        <v>15</v>
      </c>
      <c r="E405" s="3" t="s">
        <v>649</v>
      </c>
      <c r="F405" s="3" t="s">
        <v>657</v>
      </c>
      <c r="G405" s="3" t="s">
        <v>673</v>
      </c>
      <c r="H405" s="3" t="s">
        <v>706</v>
      </c>
      <c r="I405" s="3" t="s">
        <v>709</v>
      </c>
      <c r="J405" s="3" t="s">
        <v>722</v>
      </c>
      <c r="K405" s="3" t="s">
        <v>731</v>
      </c>
      <c r="L405" s="3" t="s">
        <v>1136</v>
      </c>
      <c r="M405" s="3">
        <v>501.5</v>
      </c>
      <c r="N405" s="3">
        <v>1201.47</v>
      </c>
      <c r="O405" s="3">
        <v>0.126</v>
      </c>
      <c r="P405" s="3">
        <v>5</v>
      </c>
      <c r="Q405" s="3">
        <v>5250.4239000000007</v>
      </c>
      <c r="R405" s="3">
        <f t="shared" si="30"/>
        <v>2507.5</v>
      </c>
      <c r="S405" s="3">
        <v>2742.9239000000007</v>
      </c>
      <c r="T405" s="3">
        <f t="shared" si="31"/>
        <v>0.52241951359394057</v>
      </c>
      <c r="U405" s="3" t="str">
        <f t="shared" si="32"/>
        <v>Jul-2024</v>
      </c>
      <c r="AB405" s="3">
        <f t="shared" si="33"/>
        <v>2507.5</v>
      </c>
      <c r="AC405" s="3">
        <f t="shared" si="34"/>
        <v>5250.4239000000007</v>
      </c>
    </row>
    <row r="406" spans="1:29" x14ac:dyDescent="0.35">
      <c r="A406" s="3" t="s">
        <v>418</v>
      </c>
      <c r="B406" s="4">
        <v>45677</v>
      </c>
      <c r="C406" s="4">
        <v>45691</v>
      </c>
      <c r="D406" s="5">
        <v>14</v>
      </c>
      <c r="E406" s="3" t="s">
        <v>648</v>
      </c>
      <c r="F406" s="3" t="s">
        <v>655</v>
      </c>
      <c r="G406" s="3" t="s">
        <v>672</v>
      </c>
      <c r="H406" s="3" t="s">
        <v>706</v>
      </c>
      <c r="I406" s="3" t="s">
        <v>709</v>
      </c>
      <c r="J406" s="3" t="s">
        <v>721</v>
      </c>
      <c r="K406" s="3" t="s">
        <v>727</v>
      </c>
      <c r="L406" s="3" t="s">
        <v>1137</v>
      </c>
      <c r="M406" s="3">
        <v>974.11</v>
      </c>
      <c r="N406" s="3">
        <v>880.99</v>
      </c>
      <c r="O406" s="3">
        <v>0.111</v>
      </c>
      <c r="P406" s="3">
        <v>10</v>
      </c>
      <c r="Q406" s="3">
        <v>7832.0010999999995</v>
      </c>
      <c r="R406" s="3">
        <f t="shared" si="30"/>
        <v>9741.1</v>
      </c>
      <c r="S406" s="3">
        <v>1909.0989000000009</v>
      </c>
      <c r="T406" s="3">
        <f t="shared" si="31"/>
        <v>0.2437562093805121</v>
      </c>
      <c r="U406" s="3" t="str">
        <f t="shared" si="32"/>
        <v>Jan-2025</v>
      </c>
      <c r="AB406" s="3">
        <f t="shared" si="33"/>
        <v>9741.1</v>
      </c>
      <c r="AC406" s="3">
        <f t="shared" si="34"/>
        <v>7832.0010999999995</v>
      </c>
    </row>
    <row r="407" spans="1:29" x14ac:dyDescent="0.35">
      <c r="A407" s="3" t="s">
        <v>419</v>
      </c>
      <c r="B407" s="4">
        <v>44991</v>
      </c>
      <c r="C407" s="4">
        <v>45020</v>
      </c>
      <c r="D407" s="5">
        <v>29</v>
      </c>
      <c r="E407" s="3" t="s">
        <v>647</v>
      </c>
      <c r="F407" s="3" t="s">
        <v>659</v>
      </c>
      <c r="G407" s="3" t="s">
        <v>699</v>
      </c>
      <c r="H407" s="3" t="s">
        <v>705</v>
      </c>
      <c r="I407" s="3" t="s">
        <v>711</v>
      </c>
      <c r="J407" s="3" t="s">
        <v>712</v>
      </c>
      <c r="K407" s="3" t="s">
        <v>732</v>
      </c>
      <c r="L407" s="3" t="s">
        <v>1138</v>
      </c>
      <c r="M407" s="3">
        <v>1126.29</v>
      </c>
      <c r="N407" s="3">
        <v>2050.87</v>
      </c>
      <c r="O407" s="3">
        <v>6.4000000000000001E-2</v>
      </c>
      <c r="P407" s="3">
        <v>7</v>
      </c>
      <c r="Q407" s="3">
        <v>13437.300239999999</v>
      </c>
      <c r="R407" s="3">
        <f t="shared" si="30"/>
        <v>7884.03</v>
      </c>
      <c r="S407" s="3">
        <v>5553.2702399999989</v>
      </c>
      <c r="T407" s="3">
        <f t="shared" si="31"/>
        <v>0.41327276616690373</v>
      </c>
      <c r="U407" s="3" t="str">
        <f t="shared" si="32"/>
        <v>Mar-2023</v>
      </c>
      <c r="AB407" s="3">
        <f t="shared" si="33"/>
        <v>7884.03</v>
      </c>
      <c r="AC407" s="3">
        <f t="shared" si="34"/>
        <v>13437.300239999999</v>
      </c>
    </row>
    <row r="408" spans="1:29" x14ac:dyDescent="0.35">
      <c r="A408" s="3" t="s">
        <v>420</v>
      </c>
      <c r="B408" s="4">
        <v>45646</v>
      </c>
      <c r="C408" s="4">
        <v>45671</v>
      </c>
      <c r="D408" s="5">
        <v>25</v>
      </c>
      <c r="E408" s="3" t="s">
        <v>647</v>
      </c>
      <c r="F408" s="3" t="s">
        <v>654</v>
      </c>
      <c r="G408" s="3" t="s">
        <v>680</v>
      </c>
      <c r="H408" s="3" t="s">
        <v>705</v>
      </c>
      <c r="I408" s="3" t="s">
        <v>707</v>
      </c>
      <c r="J408" s="3" t="s">
        <v>724</v>
      </c>
      <c r="K408" s="3" t="s">
        <v>728</v>
      </c>
      <c r="L408" s="3" t="s">
        <v>1139</v>
      </c>
      <c r="M408" s="3">
        <v>1361.34</v>
      </c>
      <c r="N408" s="3">
        <v>1737.9</v>
      </c>
      <c r="O408" s="3">
        <v>7.6999999999999999E-2</v>
      </c>
      <c r="P408" s="3">
        <v>14</v>
      </c>
      <c r="Q408" s="3">
        <v>22457.143800000002</v>
      </c>
      <c r="R408" s="3">
        <f t="shared" si="30"/>
        <v>19058.759999999998</v>
      </c>
      <c r="S408" s="3">
        <v>3398.3838000000032</v>
      </c>
      <c r="T408" s="3">
        <f t="shared" si="31"/>
        <v>0.15132751654731813</v>
      </c>
      <c r="U408" s="3" t="str">
        <f t="shared" si="32"/>
        <v>Dec-2024</v>
      </c>
      <c r="AB408" s="3">
        <f t="shared" si="33"/>
        <v>19058.759999999998</v>
      </c>
      <c r="AC408" s="3">
        <f t="shared" si="34"/>
        <v>22457.143800000002</v>
      </c>
    </row>
    <row r="409" spans="1:29" x14ac:dyDescent="0.35">
      <c r="A409" s="3" t="s">
        <v>421</v>
      </c>
      <c r="B409" s="4">
        <v>45709</v>
      </c>
      <c r="C409" s="4">
        <v>45737</v>
      </c>
      <c r="D409" s="5">
        <v>28</v>
      </c>
      <c r="E409" s="3" t="s">
        <v>646</v>
      </c>
      <c r="F409" s="3" t="s">
        <v>651</v>
      </c>
      <c r="G409" s="3" t="s">
        <v>669</v>
      </c>
      <c r="H409" s="3" t="s">
        <v>706</v>
      </c>
      <c r="I409" s="3" t="s">
        <v>709</v>
      </c>
      <c r="J409" s="3" t="s">
        <v>714</v>
      </c>
      <c r="K409" s="3" t="s">
        <v>730</v>
      </c>
      <c r="L409" s="3" t="s">
        <v>1140</v>
      </c>
      <c r="M409" s="3">
        <v>1437.39</v>
      </c>
      <c r="N409" s="3">
        <v>1388.31</v>
      </c>
      <c r="O409" s="3">
        <v>0.13800000000000001</v>
      </c>
      <c r="P409" s="3">
        <v>18</v>
      </c>
      <c r="Q409" s="3">
        <v>21541.017959999997</v>
      </c>
      <c r="R409" s="3">
        <f t="shared" si="30"/>
        <v>25873.02</v>
      </c>
      <c r="S409" s="3">
        <v>4332.002040000003</v>
      </c>
      <c r="T409" s="3">
        <f t="shared" si="31"/>
        <v>0.20110479681341872</v>
      </c>
      <c r="U409" s="3" t="str">
        <f t="shared" si="32"/>
        <v>Feb-2025</v>
      </c>
      <c r="AB409" s="3">
        <f t="shared" si="33"/>
        <v>25873.02</v>
      </c>
      <c r="AC409" s="3">
        <f t="shared" si="34"/>
        <v>21541.017959999997</v>
      </c>
    </row>
    <row r="410" spans="1:29" x14ac:dyDescent="0.35">
      <c r="A410" s="3" t="s">
        <v>422</v>
      </c>
      <c r="B410" s="4">
        <v>45724</v>
      </c>
      <c r="C410" s="4">
        <v>45731</v>
      </c>
      <c r="D410" s="5">
        <v>7</v>
      </c>
      <c r="E410" s="3" t="s">
        <v>647</v>
      </c>
      <c r="F410" s="3" t="s">
        <v>654</v>
      </c>
      <c r="G410" s="3" t="s">
        <v>668</v>
      </c>
      <c r="H410" s="3" t="s">
        <v>701</v>
      </c>
      <c r="I410" s="3" t="s">
        <v>710</v>
      </c>
      <c r="J410" s="3" t="s">
        <v>723</v>
      </c>
      <c r="K410" s="3" t="s">
        <v>731</v>
      </c>
      <c r="L410" s="3" t="s">
        <v>1141</v>
      </c>
      <c r="M410" s="3">
        <v>475.66</v>
      </c>
      <c r="N410" s="3">
        <v>529.14</v>
      </c>
      <c r="O410" s="3">
        <v>0.19600000000000001</v>
      </c>
      <c r="P410" s="3">
        <v>11</v>
      </c>
      <c r="Q410" s="3">
        <v>4679.7141600000004</v>
      </c>
      <c r="R410" s="3">
        <f t="shared" si="30"/>
        <v>5232.26</v>
      </c>
      <c r="S410" s="3">
        <v>552.54583999999977</v>
      </c>
      <c r="T410" s="3">
        <f t="shared" si="31"/>
        <v>0.11807256193613323</v>
      </c>
      <c r="U410" s="3" t="str">
        <f t="shared" si="32"/>
        <v>Mar-2025</v>
      </c>
      <c r="AB410" s="3">
        <f t="shared" si="33"/>
        <v>5232.26</v>
      </c>
      <c r="AC410" s="3">
        <f t="shared" si="34"/>
        <v>4679.7141600000004</v>
      </c>
    </row>
    <row r="411" spans="1:29" x14ac:dyDescent="0.35">
      <c r="A411" s="3" t="s">
        <v>423</v>
      </c>
      <c r="B411" s="4">
        <v>45276</v>
      </c>
      <c r="C411" s="4">
        <v>45279</v>
      </c>
      <c r="D411" s="5">
        <v>3</v>
      </c>
      <c r="E411" s="3" t="s">
        <v>647</v>
      </c>
      <c r="F411" s="3" t="s">
        <v>659</v>
      </c>
      <c r="G411" s="3" t="s">
        <v>699</v>
      </c>
      <c r="H411" s="3" t="s">
        <v>702</v>
      </c>
      <c r="I411" s="3" t="s">
        <v>707</v>
      </c>
      <c r="J411" s="3" t="s">
        <v>720</v>
      </c>
      <c r="K411" s="3" t="s">
        <v>733</v>
      </c>
      <c r="L411" s="3" t="s">
        <v>1142</v>
      </c>
      <c r="M411" s="3">
        <v>1415.05</v>
      </c>
      <c r="N411" s="3">
        <v>1972.38</v>
      </c>
      <c r="O411" s="3">
        <v>0</v>
      </c>
      <c r="P411" s="3">
        <v>12</v>
      </c>
      <c r="Q411" s="3">
        <v>23668.560000000001</v>
      </c>
      <c r="R411" s="3">
        <f t="shared" si="30"/>
        <v>16980.599999999999</v>
      </c>
      <c r="S411" s="3">
        <v>6687.9600000000028</v>
      </c>
      <c r="T411" s="3">
        <f t="shared" si="31"/>
        <v>0.28256725377462771</v>
      </c>
      <c r="U411" s="3" t="str">
        <f t="shared" si="32"/>
        <v>Dec-2023</v>
      </c>
      <c r="AB411" s="3">
        <f t="shared" si="33"/>
        <v>16980.599999999999</v>
      </c>
      <c r="AC411" s="3">
        <f t="shared" si="34"/>
        <v>23668.560000000001</v>
      </c>
    </row>
    <row r="412" spans="1:29" x14ac:dyDescent="0.35">
      <c r="A412" s="3" t="s">
        <v>424</v>
      </c>
      <c r="B412" s="4">
        <v>45534</v>
      </c>
      <c r="C412" s="4">
        <v>45540</v>
      </c>
      <c r="D412" s="5">
        <v>6</v>
      </c>
      <c r="E412" s="3" t="s">
        <v>647</v>
      </c>
      <c r="F412" s="3" t="s">
        <v>652</v>
      </c>
      <c r="G412" s="3" t="s">
        <v>694</v>
      </c>
      <c r="H412" s="3" t="s">
        <v>702</v>
      </c>
      <c r="I412" s="3" t="s">
        <v>708</v>
      </c>
      <c r="J412" s="3" t="s">
        <v>725</v>
      </c>
      <c r="K412" s="3" t="s">
        <v>731</v>
      </c>
      <c r="L412" s="3" t="s">
        <v>1143</v>
      </c>
      <c r="M412" s="3">
        <v>466.16</v>
      </c>
      <c r="N412" s="3">
        <v>876.81</v>
      </c>
      <c r="O412" s="3">
        <v>0.24099999999999999</v>
      </c>
      <c r="P412" s="3">
        <v>8</v>
      </c>
      <c r="Q412" s="3">
        <v>5323.9903199999999</v>
      </c>
      <c r="R412" s="3">
        <f t="shared" si="30"/>
        <v>3729.28</v>
      </c>
      <c r="S412" s="3">
        <v>1594.7103199999997</v>
      </c>
      <c r="T412" s="3">
        <f t="shared" si="31"/>
        <v>0.29953291124691594</v>
      </c>
      <c r="U412" s="3" t="str">
        <f t="shared" si="32"/>
        <v>Aug-2024</v>
      </c>
      <c r="AB412" s="3">
        <f t="shared" si="33"/>
        <v>3729.28</v>
      </c>
      <c r="AC412" s="3">
        <f t="shared" si="34"/>
        <v>5611.5839999999998</v>
      </c>
    </row>
    <row r="413" spans="1:29" x14ac:dyDescent="0.35">
      <c r="A413" s="3" t="s">
        <v>425</v>
      </c>
      <c r="B413" s="4">
        <v>45430</v>
      </c>
      <c r="C413" s="4">
        <v>45433</v>
      </c>
      <c r="D413" s="5">
        <v>3</v>
      </c>
      <c r="E413" s="3" t="s">
        <v>649</v>
      </c>
      <c r="F413" s="3" t="s">
        <v>657</v>
      </c>
      <c r="G413" s="3" t="s">
        <v>673</v>
      </c>
      <c r="H413" s="3" t="s">
        <v>703</v>
      </c>
      <c r="I413" s="3" t="s">
        <v>709</v>
      </c>
      <c r="J413" s="3" t="s">
        <v>726</v>
      </c>
      <c r="K413" s="3" t="s">
        <v>728</v>
      </c>
      <c r="L413" s="3" t="s">
        <v>1144</v>
      </c>
      <c r="M413" s="3">
        <v>663.66</v>
      </c>
      <c r="N413" s="3">
        <v>824.26</v>
      </c>
      <c r="O413" s="3">
        <v>0.23899999999999999</v>
      </c>
      <c r="P413" s="3">
        <v>11</v>
      </c>
      <c r="Q413" s="3">
        <v>6899.8804600000003</v>
      </c>
      <c r="R413" s="3">
        <f t="shared" si="30"/>
        <v>7300.2599999999993</v>
      </c>
      <c r="S413" s="3">
        <v>400.379539999999</v>
      </c>
      <c r="T413" s="3">
        <f t="shared" si="31"/>
        <v>5.8027025587048933E-2</v>
      </c>
      <c r="U413" s="3" t="str">
        <f t="shared" si="32"/>
        <v>May-2024</v>
      </c>
      <c r="AB413" s="3">
        <f t="shared" si="33"/>
        <v>7300.2599999999993</v>
      </c>
      <c r="AC413" s="3">
        <f t="shared" si="34"/>
        <v>7253.4880000000012</v>
      </c>
    </row>
    <row r="414" spans="1:29" x14ac:dyDescent="0.35">
      <c r="A414" s="3" t="s">
        <v>426</v>
      </c>
      <c r="B414" s="4">
        <v>45002</v>
      </c>
      <c r="C414" s="4">
        <v>45022</v>
      </c>
      <c r="D414" s="5">
        <v>20</v>
      </c>
      <c r="E414" s="3" t="s">
        <v>649</v>
      </c>
      <c r="F414" s="3" t="s">
        <v>656</v>
      </c>
      <c r="G414" s="3" t="s">
        <v>684</v>
      </c>
      <c r="H414" s="3" t="s">
        <v>704</v>
      </c>
      <c r="I414" s="3" t="s">
        <v>707</v>
      </c>
      <c r="J414" s="3" t="s">
        <v>719</v>
      </c>
      <c r="K414" s="3" t="s">
        <v>730</v>
      </c>
      <c r="L414" s="3" t="s">
        <v>1145</v>
      </c>
      <c r="M414" s="3">
        <v>692.18</v>
      </c>
      <c r="N414" s="3">
        <v>1159.3499999999999</v>
      </c>
      <c r="O414" s="3">
        <v>0.112</v>
      </c>
      <c r="P414" s="3">
        <v>2</v>
      </c>
      <c r="Q414" s="3">
        <v>2059.0056</v>
      </c>
      <c r="R414" s="3">
        <f t="shared" si="30"/>
        <v>1384.36</v>
      </c>
      <c r="S414" s="3">
        <v>674.64560000000006</v>
      </c>
      <c r="T414" s="3">
        <f t="shared" si="31"/>
        <v>0.32765602968734037</v>
      </c>
      <c r="U414" s="3" t="str">
        <f t="shared" si="32"/>
        <v>Mar-2023</v>
      </c>
      <c r="AB414" s="3">
        <f t="shared" si="33"/>
        <v>1384.36</v>
      </c>
      <c r="AC414" s="3">
        <f t="shared" si="34"/>
        <v>2059.0056</v>
      </c>
    </row>
    <row r="415" spans="1:29" x14ac:dyDescent="0.35">
      <c r="A415" s="3" t="s">
        <v>427</v>
      </c>
      <c r="B415" s="4">
        <v>45163</v>
      </c>
      <c r="C415" s="4">
        <v>45185</v>
      </c>
      <c r="D415" s="5">
        <v>22</v>
      </c>
      <c r="E415" s="3" t="s">
        <v>646</v>
      </c>
      <c r="F415" s="3" t="s">
        <v>651</v>
      </c>
      <c r="G415" s="3" t="s">
        <v>669</v>
      </c>
      <c r="H415" s="3" t="s">
        <v>701</v>
      </c>
      <c r="I415" s="3" t="s">
        <v>709</v>
      </c>
      <c r="J415" s="3" t="s">
        <v>716</v>
      </c>
      <c r="K415" s="3" t="s">
        <v>730</v>
      </c>
      <c r="L415" s="3" t="s">
        <v>1146</v>
      </c>
      <c r="M415" s="3">
        <v>1196.83</v>
      </c>
      <c r="N415" s="3">
        <v>2513.5100000000002</v>
      </c>
      <c r="O415" s="3">
        <v>8.3000000000000004E-2</v>
      </c>
      <c r="P415" s="3">
        <v>7</v>
      </c>
      <c r="Q415" s="3">
        <v>16134.22069</v>
      </c>
      <c r="R415" s="3">
        <f t="shared" si="30"/>
        <v>8377.81</v>
      </c>
      <c r="S415" s="3">
        <v>7756.4106900000006</v>
      </c>
      <c r="T415" s="3">
        <f t="shared" si="31"/>
        <v>0.48074281609445374</v>
      </c>
      <c r="U415" s="3" t="str">
        <f t="shared" si="32"/>
        <v>Aug-2023</v>
      </c>
      <c r="AB415" s="3">
        <f t="shared" si="33"/>
        <v>8377.81</v>
      </c>
      <c r="AC415" s="3">
        <f t="shared" si="34"/>
        <v>16134.22069</v>
      </c>
    </row>
    <row r="416" spans="1:29" x14ac:dyDescent="0.35">
      <c r="A416" s="3" t="s">
        <v>428</v>
      </c>
      <c r="B416" s="4">
        <v>45449</v>
      </c>
      <c r="C416" s="4">
        <v>45467</v>
      </c>
      <c r="D416" s="5">
        <v>18</v>
      </c>
      <c r="E416" s="3" t="s">
        <v>647</v>
      </c>
      <c r="F416" s="3" t="s">
        <v>654</v>
      </c>
      <c r="G416" s="3" t="s">
        <v>668</v>
      </c>
      <c r="H416" s="3" t="s">
        <v>705</v>
      </c>
      <c r="I416" s="3" t="s">
        <v>711</v>
      </c>
      <c r="J416" s="3" t="s">
        <v>722</v>
      </c>
      <c r="K416" s="3" t="s">
        <v>729</v>
      </c>
      <c r="L416" s="3" t="s">
        <v>1147</v>
      </c>
      <c r="M416" s="3">
        <v>1253.25</v>
      </c>
      <c r="N416" s="3">
        <v>3087.13</v>
      </c>
      <c r="O416" s="3">
        <v>7.1999999999999995E-2</v>
      </c>
      <c r="P416" s="3">
        <v>11</v>
      </c>
      <c r="Q416" s="3">
        <v>31513.423040000001</v>
      </c>
      <c r="R416" s="3">
        <f t="shared" si="30"/>
        <v>13785.75</v>
      </c>
      <c r="S416" s="3">
        <v>17727.673040000001</v>
      </c>
      <c r="T416" s="3">
        <f t="shared" si="31"/>
        <v>0.562543555408064</v>
      </c>
      <c r="U416" s="3" t="str">
        <f t="shared" si="32"/>
        <v>Jun-2024</v>
      </c>
      <c r="AB416" s="3">
        <f t="shared" si="33"/>
        <v>13785.75</v>
      </c>
      <c r="AC416" s="3">
        <f t="shared" si="34"/>
        <v>31513.423040000001</v>
      </c>
    </row>
    <row r="417" spans="1:29" x14ac:dyDescent="0.35">
      <c r="A417" s="3" t="s">
        <v>429</v>
      </c>
      <c r="B417" s="4">
        <v>45167</v>
      </c>
      <c r="C417" s="4">
        <v>45182</v>
      </c>
      <c r="D417" s="5">
        <v>15</v>
      </c>
      <c r="E417" s="3" t="s">
        <v>648</v>
      </c>
      <c r="F417" s="3" t="s">
        <v>653</v>
      </c>
      <c r="G417" s="3" t="s">
        <v>688</v>
      </c>
      <c r="H417" s="3" t="s">
        <v>705</v>
      </c>
      <c r="I417" s="3" t="s">
        <v>709</v>
      </c>
      <c r="J417" s="3" t="s">
        <v>719</v>
      </c>
      <c r="K417" s="3" t="s">
        <v>728</v>
      </c>
      <c r="L417" s="3" t="s">
        <v>1148</v>
      </c>
      <c r="M417" s="3">
        <v>1287.6400000000001</v>
      </c>
      <c r="N417" s="3">
        <v>2717.15</v>
      </c>
      <c r="O417" s="3">
        <v>3.2000000000000001E-2</v>
      </c>
      <c r="P417" s="3">
        <v>7</v>
      </c>
      <c r="Q417" s="3">
        <v>18411.4084</v>
      </c>
      <c r="R417" s="3">
        <f t="shared" si="30"/>
        <v>9013.4800000000014</v>
      </c>
      <c r="S417" s="3">
        <v>9397.9283999999989</v>
      </c>
      <c r="T417" s="3">
        <f t="shared" si="31"/>
        <v>0.51044049405802105</v>
      </c>
      <c r="U417" s="3" t="str">
        <f t="shared" si="32"/>
        <v>Aug-2023</v>
      </c>
      <c r="AB417" s="3">
        <f t="shared" si="33"/>
        <v>9013.4800000000014</v>
      </c>
      <c r="AC417" s="3">
        <f t="shared" si="34"/>
        <v>18411.4084</v>
      </c>
    </row>
    <row r="418" spans="1:29" x14ac:dyDescent="0.35">
      <c r="A418" s="3" t="s">
        <v>430</v>
      </c>
      <c r="B418" s="4">
        <v>45626</v>
      </c>
      <c r="C418" s="4">
        <v>45636</v>
      </c>
      <c r="D418" s="5">
        <v>10</v>
      </c>
      <c r="E418" s="3" t="s">
        <v>647</v>
      </c>
      <c r="F418" s="3" t="s">
        <v>654</v>
      </c>
      <c r="G418" s="3" t="s">
        <v>696</v>
      </c>
      <c r="H418" s="3" t="s">
        <v>705</v>
      </c>
      <c r="I418" s="3" t="s">
        <v>707</v>
      </c>
      <c r="J418" s="3" t="s">
        <v>721</v>
      </c>
      <c r="K418" s="3" t="s">
        <v>733</v>
      </c>
      <c r="L418" s="3" t="s">
        <v>1149</v>
      </c>
      <c r="M418" s="3">
        <v>851.49</v>
      </c>
      <c r="N418" s="3">
        <v>901.79</v>
      </c>
      <c r="O418" s="3">
        <v>0.245</v>
      </c>
      <c r="P418" s="3">
        <v>16</v>
      </c>
      <c r="Q418" s="3">
        <v>10893.6232</v>
      </c>
      <c r="R418" s="3">
        <f t="shared" si="30"/>
        <v>13623.84</v>
      </c>
      <c r="S418" s="3">
        <v>2730.2168000000001</v>
      </c>
      <c r="T418" s="3">
        <f t="shared" si="31"/>
        <v>0.25062522816100341</v>
      </c>
      <c r="U418" s="3" t="str">
        <f t="shared" si="32"/>
        <v>Nov-2024</v>
      </c>
      <c r="AB418" s="3">
        <f t="shared" si="33"/>
        <v>13623.84</v>
      </c>
      <c r="AC418" s="3">
        <f t="shared" si="34"/>
        <v>11542.912</v>
      </c>
    </row>
    <row r="419" spans="1:29" x14ac:dyDescent="0.35">
      <c r="A419" s="3" t="s">
        <v>431</v>
      </c>
      <c r="B419" s="4">
        <v>45813</v>
      </c>
      <c r="C419" s="4">
        <v>45822</v>
      </c>
      <c r="D419" s="5">
        <v>9</v>
      </c>
      <c r="E419" s="3" t="s">
        <v>647</v>
      </c>
      <c r="F419" s="3" t="s">
        <v>654</v>
      </c>
      <c r="G419" s="3" t="s">
        <v>680</v>
      </c>
      <c r="H419" s="3" t="s">
        <v>703</v>
      </c>
      <c r="I419" s="3" t="s">
        <v>707</v>
      </c>
      <c r="J419" s="3" t="s">
        <v>720</v>
      </c>
      <c r="K419" s="3" t="s">
        <v>733</v>
      </c>
      <c r="L419" s="3" t="s">
        <v>1150</v>
      </c>
      <c r="M419" s="3">
        <v>618.69000000000005</v>
      </c>
      <c r="N419" s="3">
        <v>796.15</v>
      </c>
      <c r="O419" s="3">
        <v>0.09</v>
      </c>
      <c r="P419" s="3">
        <v>11</v>
      </c>
      <c r="Q419" s="3">
        <v>7969.4615000000003</v>
      </c>
      <c r="R419" s="3">
        <f t="shared" si="30"/>
        <v>6805.59</v>
      </c>
      <c r="S419" s="3">
        <v>1163.8715000000002</v>
      </c>
      <c r="T419" s="3">
        <f t="shared" si="31"/>
        <v>0.14604142325049191</v>
      </c>
      <c r="U419" s="3" t="str">
        <f t="shared" si="32"/>
        <v>Jun-2025</v>
      </c>
      <c r="AB419" s="3">
        <f t="shared" si="33"/>
        <v>6805.59</v>
      </c>
      <c r="AC419" s="3">
        <f t="shared" si="34"/>
        <v>7969.4615000000003</v>
      </c>
    </row>
    <row r="420" spans="1:29" x14ac:dyDescent="0.35">
      <c r="A420" s="3" t="s">
        <v>432</v>
      </c>
      <c r="B420" s="4">
        <v>45730</v>
      </c>
      <c r="C420" s="4">
        <v>45755</v>
      </c>
      <c r="D420" s="5">
        <v>25</v>
      </c>
      <c r="E420" s="3" t="s">
        <v>647</v>
      </c>
      <c r="F420" s="3" t="s">
        <v>659</v>
      </c>
      <c r="G420" s="3" t="s">
        <v>1422</v>
      </c>
      <c r="H420" s="3" t="s">
        <v>701</v>
      </c>
      <c r="I420" s="3" t="s">
        <v>710</v>
      </c>
      <c r="J420" s="3" t="s">
        <v>726</v>
      </c>
      <c r="K420" s="3" t="s">
        <v>728</v>
      </c>
      <c r="L420" s="3" t="s">
        <v>1151</v>
      </c>
      <c r="M420" s="3">
        <v>80.59</v>
      </c>
      <c r="N420" s="3">
        <v>157.82</v>
      </c>
      <c r="O420" s="3">
        <v>0.217</v>
      </c>
      <c r="P420" s="3">
        <v>6</v>
      </c>
      <c r="Q420" s="3">
        <v>741.43835999999999</v>
      </c>
      <c r="R420" s="3">
        <f t="shared" si="30"/>
        <v>483.54</v>
      </c>
      <c r="S420" s="3">
        <v>257.89835999999997</v>
      </c>
      <c r="T420" s="3">
        <f t="shared" si="31"/>
        <v>0.34783519967863541</v>
      </c>
      <c r="U420" s="3" t="str">
        <f t="shared" si="32"/>
        <v>Mar-2025</v>
      </c>
      <c r="AB420" s="3">
        <f t="shared" si="33"/>
        <v>483.54</v>
      </c>
      <c r="AC420" s="3">
        <f t="shared" si="34"/>
        <v>757.53600000000006</v>
      </c>
    </row>
    <row r="421" spans="1:29" x14ac:dyDescent="0.35">
      <c r="A421" s="3" t="s">
        <v>433</v>
      </c>
      <c r="B421" s="4">
        <v>45307</v>
      </c>
      <c r="C421" s="4">
        <v>45333</v>
      </c>
      <c r="D421" s="5">
        <v>26</v>
      </c>
      <c r="E421" s="3" t="s">
        <v>649</v>
      </c>
      <c r="F421" s="3" t="s">
        <v>656</v>
      </c>
      <c r="G421" s="3" t="s">
        <v>698</v>
      </c>
      <c r="H421" s="3" t="s">
        <v>703</v>
      </c>
      <c r="I421" s="3" t="s">
        <v>710</v>
      </c>
      <c r="J421" s="3" t="s">
        <v>718</v>
      </c>
      <c r="K421" s="3" t="s">
        <v>732</v>
      </c>
      <c r="L421" s="3" t="s">
        <v>1152</v>
      </c>
      <c r="M421" s="3">
        <v>504.93</v>
      </c>
      <c r="N421" s="3">
        <v>819.06</v>
      </c>
      <c r="O421" s="3">
        <v>0.22600000000000001</v>
      </c>
      <c r="P421" s="3">
        <v>15</v>
      </c>
      <c r="Q421" s="3">
        <v>9509.2865999999995</v>
      </c>
      <c r="R421" s="3">
        <f t="shared" si="30"/>
        <v>7573.95</v>
      </c>
      <c r="S421" s="3">
        <v>1935.3365999999996</v>
      </c>
      <c r="T421" s="3">
        <f t="shared" si="31"/>
        <v>0.20352069312959814</v>
      </c>
      <c r="U421" s="3" t="str">
        <f t="shared" si="32"/>
        <v>Jan-2024</v>
      </c>
      <c r="AB421" s="3">
        <f t="shared" si="33"/>
        <v>7573.95</v>
      </c>
      <c r="AC421" s="3">
        <f t="shared" si="34"/>
        <v>9828.7200000000012</v>
      </c>
    </row>
    <row r="422" spans="1:29" x14ac:dyDescent="0.35">
      <c r="A422" s="3" t="s">
        <v>434</v>
      </c>
      <c r="B422" s="4">
        <v>45211</v>
      </c>
      <c r="C422" s="4">
        <v>45228</v>
      </c>
      <c r="D422" s="5">
        <v>17</v>
      </c>
      <c r="E422" s="3" t="s">
        <v>647</v>
      </c>
      <c r="F422" s="3" t="s">
        <v>652</v>
      </c>
      <c r="G422" s="3" t="s">
        <v>694</v>
      </c>
      <c r="H422" s="3" t="s">
        <v>703</v>
      </c>
      <c r="I422" s="3" t="s">
        <v>711</v>
      </c>
      <c r="J422" s="3" t="s">
        <v>722</v>
      </c>
      <c r="K422" s="3" t="s">
        <v>730</v>
      </c>
      <c r="L422" s="3" t="s">
        <v>1153</v>
      </c>
      <c r="M422" s="3">
        <v>1102.19</v>
      </c>
      <c r="N422" s="3">
        <v>1711.16</v>
      </c>
      <c r="O422" s="3">
        <v>0.151</v>
      </c>
      <c r="P422" s="3">
        <v>10</v>
      </c>
      <c r="Q422" s="3">
        <v>14527.748400000002</v>
      </c>
      <c r="R422" s="3">
        <f t="shared" si="30"/>
        <v>11021.900000000001</v>
      </c>
      <c r="S422" s="3">
        <v>3505.8484000000008</v>
      </c>
      <c r="T422" s="3">
        <f t="shared" si="31"/>
        <v>0.24132083675127525</v>
      </c>
      <c r="U422" s="3" t="str">
        <f t="shared" si="32"/>
        <v>Oct-2023</v>
      </c>
      <c r="AB422" s="3">
        <f t="shared" si="33"/>
        <v>11021.900000000001</v>
      </c>
      <c r="AC422" s="3">
        <f t="shared" si="34"/>
        <v>14527.748400000002</v>
      </c>
    </row>
    <row r="423" spans="1:29" x14ac:dyDescent="0.35">
      <c r="A423" s="3" t="s">
        <v>435</v>
      </c>
      <c r="B423" s="4">
        <v>45713</v>
      </c>
      <c r="C423" s="4">
        <v>45733</v>
      </c>
      <c r="D423" s="5">
        <v>20</v>
      </c>
      <c r="E423" s="3" t="s">
        <v>648</v>
      </c>
      <c r="F423" s="3" t="s">
        <v>660</v>
      </c>
      <c r="G423" s="3" t="s">
        <v>686</v>
      </c>
      <c r="H423" s="3" t="s">
        <v>703</v>
      </c>
      <c r="I423" s="3" t="s">
        <v>709</v>
      </c>
      <c r="J423" s="3" t="s">
        <v>722</v>
      </c>
      <c r="K423" s="3" t="s">
        <v>730</v>
      </c>
      <c r="L423" s="3" t="s">
        <v>1154</v>
      </c>
      <c r="M423" s="3">
        <v>1205.26</v>
      </c>
      <c r="N423" s="3">
        <v>1696.35</v>
      </c>
      <c r="O423" s="3">
        <v>1.9E-2</v>
      </c>
      <c r="P423" s="3">
        <v>6</v>
      </c>
      <c r="Q423" s="3">
        <v>9984.7160999999978</v>
      </c>
      <c r="R423" s="3">
        <f t="shared" si="30"/>
        <v>7231.5599999999995</v>
      </c>
      <c r="S423" s="3">
        <v>2753.1560999999983</v>
      </c>
      <c r="T423" s="3">
        <f t="shared" si="31"/>
        <v>0.27573704374028213</v>
      </c>
      <c r="U423" s="3" t="str">
        <f t="shared" si="32"/>
        <v>Feb-2025</v>
      </c>
      <c r="AB423" s="3">
        <f t="shared" si="33"/>
        <v>7231.5599999999995</v>
      </c>
      <c r="AC423" s="3">
        <f t="shared" si="34"/>
        <v>9984.7160999999978</v>
      </c>
    </row>
    <row r="424" spans="1:29" x14ac:dyDescent="0.35">
      <c r="A424" s="3" t="s">
        <v>436</v>
      </c>
      <c r="B424" s="4">
        <v>45841</v>
      </c>
      <c r="C424" s="4">
        <v>45844</v>
      </c>
      <c r="D424" s="5">
        <v>3</v>
      </c>
      <c r="E424" s="3" t="s">
        <v>646</v>
      </c>
      <c r="F424" s="3" t="s">
        <v>651</v>
      </c>
      <c r="G424" s="3" t="s">
        <v>665</v>
      </c>
      <c r="H424" s="3" t="s">
        <v>704</v>
      </c>
      <c r="I424" s="3" t="s">
        <v>708</v>
      </c>
      <c r="J424" s="3" t="s">
        <v>1422</v>
      </c>
      <c r="K424" s="3" t="s">
        <v>731</v>
      </c>
      <c r="L424" s="3" t="s">
        <v>1155</v>
      </c>
      <c r="M424" s="3">
        <v>1313.3</v>
      </c>
      <c r="N424" s="3">
        <v>2884.34</v>
      </c>
      <c r="O424" s="3">
        <v>0.157</v>
      </c>
      <c r="P424" s="3">
        <v>42</v>
      </c>
      <c r="Q424" s="3">
        <v>102122.94203999999</v>
      </c>
      <c r="R424" s="3">
        <f t="shared" si="30"/>
        <v>55158.6</v>
      </c>
      <c r="S424" s="3">
        <v>46964.342039999996</v>
      </c>
      <c r="T424" s="3">
        <f t="shared" si="31"/>
        <v>0.45988042551305253</v>
      </c>
      <c r="U424" s="3" t="str">
        <f t="shared" si="32"/>
        <v>Jul-2025</v>
      </c>
      <c r="AB424" s="3">
        <f t="shared" si="33"/>
        <v>55158.6</v>
      </c>
      <c r="AC424" s="3">
        <f t="shared" si="34"/>
        <v>102122.94203999999</v>
      </c>
    </row>
    <row r="425" spans="1:29" x14ac:dyDescent="0.35">
      <c r="A425" s="3" t="s">
        <v>437</v>
      </c>
      <c r="B425" s="4">
        <v>45915</v>
      </c>
      <c r="C425" s="4">
        <v>45925</v>
      </c>
      <c r="D425" s="5">
        <v>10</v>
      </c>
      <c r="E425" s="3" t="s">
        <v>647</v>
      </c>
      <c r="F425" s="3" t="s">
        <v>654</v>
      </c>
      <c r="G425" s="3" t="s">
        <v>680</v>
      </c>
      <c r="H425" s="3" t="s">
        <v>704</v>
      </c>
      <c r="I425" s="3" t="s">
        <v>707</v>
      </c>
      <c r="J425" s="3" t="s">
        <v>720</v>
      </c>
      <c r="K425" s="3" t="s">
        <v>730</v>
      </c>
      <c r="L425" s="3" t="s">
        <v>1156</v>
      </c>
      <c r="M425" s="3">
        <v>1488.91</v>
      </c>
      <c r="N425" s="3">
        <v>1483.74</v>
      </c>
      <c r="O425" s="3">
        <v>0.16800000000000001</v>
      </c>
      <c r="P425" s="3">
        <v>24</v>
      </c>
      <c r="Q425" s="3">
        <v>29627.320319999999</v>
      </c>
      <c r="R425" s="3">
        <f t="shared" si="30"/>
        <v>35733.840000000004</v>
      </c>
      <c r="S425" s="3">
        <v>6106.5196800000049</v>
      </c>
      <c r="T425" s="3">
        <f t="shared" si="31"/>
        <v>0.20611110333450519</v>
      </c>
      <c r="U425" s="3" t="str">
        <f t="shared" si="32"/>
        <v>Sep-2025</v>
      </c>
      <c r="AB425" s="3">
        <f t="shared" si="33"/>
        <v>35733.840000000004</v>
      </c>
      <c r="AC425" s="3">
        <f t="shared" si="34"/>
        <v>29627.320319999999</v>
      </c>
    </row>
    <row r="426" spans="1:29" x14ac:dyDescent="0.35">
      <c r="A426" s="3" t="s">
        <v>438</v>
      </c>
      <c r="B426" s="4">
        <v>45341</v>
      </c>
      <c r="C426" s="4">
        <v>45357</v>
      </c>
      <c r="D426" s="5">
        <v>16</v>
      </c>
      <c r="E426" s="3" t="s">
        <v>647</v>
      </c>
      <c r="F426" s="3" t="s">
        <v>659</v>
      </c>
      <c r="G426" s="3" t="s">
        <v>699</v>
      </c>
      <c r="H426" s="3" t="s">
        <v>702</v>
      </c>
      <c r="I426" s="3" t="s">
        <v>709</v>
      </c>
      <c r="J426" s="3" t="s">
        <v>719</v>
      </c>
      <c r="K426" s="3" t="s">
        <v>728</v>
      </c>
      <c r="L426" s="3" t="s">
        <v>1157</v>
      </c>
      <c r="M426" s="3">
        <v>1477.84</v>
      </c>
      <c r="N426" s="3">
        <v>3197.47</v>
      </c>
      <c r="O426" s="3">
        <v>0.24299999999999999</v>
      </c>
      <c r="P426" s="3">
        <v>24</v>
      </c>
      <c r="Q426" s="3">
        <v>58091.634960000003</v>
      </c>
      <c r="R426" s="3">
        <f t="shared" si="30"/>
        <v>35468.159999999996</v>
      </c>
      <c r="S426" s="3">
        <v>22623.474960000007</v>
      </c>
      <c r="T426" s="3">
        <f t="shared" si="31"/>
        <v>0.38944462443823091</v>
      </c>
      <c r="U426" s="3" t="str">
        <f t="shared" si="32"/>
        <v>Feb-2024</v>
      </c>
      <c r="AB426" s="3">
        <f t="shared" si="33"/>
        <v>35468.159999999996</v>
      </c>
      <c r="AC426" s="3">
        <f t="shared" si="34"/>
        <v>61391.423999999999</v>
      </c>
    </row>
    <row r="427" spans="1:29" x14ac:dyDescent="0.35">
      <c r="A427" s="3" t="s">
        <v>439</v>
      </c>
      <c r="B427" s="4">
        <v>45349</v>
      </c>
      <c r="C427" s="4">
        <v>45377</v>
      </c>
      <c r="D427" s="5">
        <v>28</v>
      </c>
      <c r="E427" s="3" t="s">
        <v>647</v>
      </c>
      <c r="F427" s="3" t="s">
        <v>654</v>
      </c>
      <c r="G427" s="3" t="s">
        <v>691</v>
      </c>
      <c r="H427" s="3" t="s">
        <v>702</v>
      </c>
      <c r="I427" s="3" t="s">
        <v>709</v>
      </c>
      <c r="J427" s="3" t="s">
        <v>715</v>
      </c>
      <c r="K427" s="3" t="s">
        <v>731</v>
      </c>
      <c r="L427" s="3" t="s">
        <v>1158</v>
      </c>
      <c r="M427" s="3">
        <v>1035.19</v>
      </c>
      <c r="N427" s="3">
        <v>2322.6999999999998</v>
      </c>
      <c r="O427" s="3">
        <v>0.17299999999999999</v>
      </c>
      <c r="P427" s="3">
        <v>8</v>
      </c>
      <c r="Q427" s="3">
        <v>15366.983199999999</v>
      </c>
      <c r="R427" s="3">
        <f t="shared" si="30"/>
        <v>8281.52</v>
      </c>
      <c r="S427" s="3">
        <v>7085.4631999999983</v>
      </c>
      <c r="T427" s="3">
        <f t="shared" si="31"/>
        <v>0.46108355217047409</v>
      </c>
      <c r="U427" s="3" t="str">
        <f t="shared" si="32"/>
        <v>Feb-2024</v>
      </c>
      <c r="AB427" s="3">
        <f t="shared" si="33"/>
        <v>8281.52</v>
      </c>
      <c r="AC427" s="3">
        <f t="shared" si="34"/>
        <v>15366.983199999999</v>
      </c>
    </row>
    <row r="428" spans="1:29" x14ac:dyDescent="0.35">
      <c r="A428" s="3" t="s">
        <v>440</v>
      </c>
      <c r="B428" s="4">
        <v>45897</v>
      </c>
      <c r="C428" s="4">
        <v>45905</v>
      </c>
      <c r="D428" s="5">
        <v>8</v>
      </c>
      <c r="E428" s="3" t="s">
        <v>646</v>
      </c>
      <c r="F428" s="3" t="s">
        <v>651</v>
      </c>
      <c r="G428" s="3" t="s">
        <v>663</v>
      </c>
      <c r="H428" s="3" t="s">
        <v>705</v>
      </c>
      <c r="I428" s="3" t="s">
        <v>709</v>
      </c>
      <c r="J428" s="3" t="s">
        <v>718</v>
      </c>
      <c r="K428" s="3" t="s">
        <v>731</v>
      </c>
      <c r="L428" s="3" t="s">
        <v>1159</v>
      </c>
      <c r="M428" s="3">
        <v>1271.0999999999999</v>
      </c>
      <c r="N428" s="3">
        <v>1932.42</v>
      </c>
      <c r="O428" s="3">
        <v>0.25</v>
      </c>
      <c r="P428" s="3">
        <v>21</v>
      </c>
      <c r="Q428" s="3">
        <v>30435.614999999998</v>
      </c>
      <c r="R428" s="3">
        <f t="shared" si="30"/>
        <v>26693.1</v>
      </c>
      <c r="S428" s="3">
        <v>3742.5149999999994</v>
      </c>
      <c r="T428" s="3">
        <f t="shared" si="31"/>
        <v>0.12296498690760807</v>
      </c>
      <c r="U428" s="3" t="str">
        <f t="shared" si="32"/>
        <v>Aug-2025</v>
      </c>
      <c r="AB428" s="3">
        <f t="shared" si="33"/>
        <v>26693.1</v>
      </c>
      <c r="AC428" s="3">
        <f t="shared" si="34"/>
        <v>32464.656000000003</v>
      </c>
    </row>
    <row r="429" spans="1:29" x14ac:dyDescent="0.35">
      <c r="A429" s="3" t="s">
        <v>441</v>
      </c>
      <c r="B429" s="4">
        <v>45522</v>
      </c>
      <c r="C429" s="4">
        <v>45547</v>
      </c>
      <c r="D429" s="5">
        <v>25</v>
      </c>
      <c r="E429" s="3" t="s">
        <v>647</v>
      </c>
      <c r="F429" s="3" t="s">
        <v>654</v>
      </c>
      <c r="G429" s="3" t="s">
        <v>691</v>
      </c>
      <c r="H429" s="3" t="s">
        <v>704</v>
      </c>
      <c r="I429" s="3" t="s">
        <v>709</v>
      </c>
      <c r="J429" s="3" t="s">
        <v>712</v>
      </c>
      <c r="K429" s="3" t="s">
        <v>730</v>
      </c>
      <c r="L429" s="3" t="s">
        <v>1160</v>
      </c>
      <c r="M429" s="3">
        <v>1154.03</v>
      </c>
      <c r="N429" s="3">
        <v>1590.36</v>
      </c>
      <c r="O429" s="3">
        <v>0.314</v>
      </c>
      <c r="P429" s="3">
        <v>18</v>
      </c>
      <c r="Q429" s="3">
        <v>19637.76528</v>
      </c>
      <c r="R429" s="3">
        <f t="shared" si="30"/>
        <v>20772.54</v>
      </c>
      <c r="S429" s="3">
        <v>1134.7747200000013</v>
      </c>
      <c r="T429" s="3">
        <f t="shared" si="31"/>
        <v>5.7785328616576745E-2</v>
      </c>
      <c r="U429" s="3" t="str">
        <f t="shared" si="32"/>
        <v>Aug-2024</v>
      </c>
      <c r="AB429" s="3">
        <f t="shared" si="33"/>
        <v>20772.54</v>
      </c>
      <c r="AC429" s="3">
        <f t="shared" si="34"/>
        <v>22901.184000000001</v>
      </c>
    </row>
    <row r="430" spans="1:29" x14ac:dyDescent="0.35">
      <c r="A430" s="3" t="s">
        <v>442</v>
      </c>
      <c r="B430" s="4">
        <v>45347</v>
      </c>
      <c r="C430" s="4">
        <v>45360</v>
      </c>
      <c r="D430" s="5">
        <v>13</v>
      </c>
      <c r="E430" s="3" t="s">
        <v>649</v>
      </c>
      <c r="F430" s="3" t="s">
        <v>657</v>
      </c>
      <c r="G430" s="3" t="s">
        <v>673</v>
      </c>
      <c r="H430" s="3" t="s">
        <v>705</v>
      </c>
      <c r="I430" s="3" t="s">
        <v>710</v>
      </c>
      <c r="J430" s="3" t="s">
        <v>718</v>
      </c>
      <c r="K430" s="3" t="s">
        <v>732</v>
      </c>
      <c r="L430" s="3" t="s">
        <v>1161</v>
      </c>
      <c r="M430" s="3">
        <v>322.44</v>
      </c>
      <c r="N430" s="3">
        <v>395.61</v>
      </c>
      <c r="O430" s="3">
        <v>0</v>
      </c>
      <c r="P430" s="3">
        <v>34</v>
      </c>
      <c r="Q430" s="3">
        <v>13450.74</v>
      </c>
      <c r="R430" s="3">
        <f t="shared" si="30"/>
        <v>10962.96</v>
      </c>
      <c r="S430" s="3">
        <v>2487.7800000000007</v>
      </c>
      <c r="T430" s="3">
        <f t="shared" si="31"/>
        <v>0.18495487980586947</v>
      </c>
      <c r="U430" s="3" t="str">
        <f t="shared" si="32"/>
        <v>Feb-2024</v>
      </c>
      <c r="AB430" s="3">
        <f t="shared" si="33"/>
        <v>10962.96</v>
      </c>
      <c r="AC430" s="3">
        <f t="shared" si="34"/>
        <v>13450.74</v>
      </c>
    </row>
    <row r="431" spans="1:29" x14ac:dyDescent="0.35">
      <c r="A431" s="3" t="s">
        <v>443</v>
      </c>
      <c r="B431" s="4">
        <v>45784</v>
      </c>
      <c r="C431" s="4">
        <v>45790</v>
      </c>
      <c r="D431" s="5">
        <v>6</v>
      </c>
      <c r="E431" s="3" t="s">
        <v>647</v>
      </c>
      <c r="F431" s="3" t="s">
        <v>654</v>
      </c>
      <c r="G431" s="3" t="s">
        <v>668</v>
      </c>
      <c r="H431" s="3" t="s">
        <v>706</v>
      </c>
      <c r="I431" s="3" t="s">
        <v>711</v>
      </c>
      <c r="J431" s="3" t="s">
        <v>713</v>
      </c>
      <c r="K431" s="3" t="s">
        <v>730</v>
      </c>
      <c r="L431" s="3" t="s">
        <v>1162</v>
      </c>
      <c r="M431" s="3">
        <v>935.98</v>
      </c>
      <c r="N431" s="3">
        <v>2077.69</v>
      </c>
      <c r="O431" s="3">
        <v>0.17499999999999999</v>
      </c>
      <c r="P431" s="3">
        <v>24</v>
      </c>
      <c r="Q431" s="3">
        <v>41138.261999999995</v>
      </c>
      <c r="R431" s="3">
        <f t="shared" si="30"/>
        <v>22463.52</v>
      </c>
      <c r="S431" s="3">
        <v>18674.741999999995</v>
      </c>
      <c r="T431" s="3">
        <f t="shared" si="31"/>
        <v>0.45395067978321491</v>
      </c>
      <c r="U431" s="3" t="str">
        <f t="shared" si="32"/>
        <v>May-2025</v>
      </c>
      <c r="AB431" s="3">
        <f t="shared" si="33"/>
        <v>22463.52</v>
      </c>
      <c r="AC431" s="3">
        <f t="shared" si="34"/>
        <v>41138.261999999995</v>
      </c>
    </row>
    <row r="432" spans="1:29" x14ac:dyDescent="0.35">
      <c r="A432" s="3" t="s">
        <v>444</v>
      </c>
      <c r="B432" s="4">
        <v>45597</v>
      </c>
      <c r="C432" s="4">
        <v>45608</v>
      </c>
      <c r="D432" s="5">
        <v>11</v>
      </c>
      <c r="E432" s="3" t="s">
        <v>649</v>
      </c>
      <c r="F432" s="3" t="s">
        <v>656</v>
      </c>
      <c r="G432" s="3" t="s">
        <v>698</v>
      </c>
      <c r="H432" s="3" t="s">
        <v>704</v>
      </c>
      <c r="I432" s="3" t="s">
        <v>708</v>
      </c>
      <c r="J432" s="3" t="s">
        <v>717</v>
      </c>
      <c r="K432" s="3" t="s">
        <v>728</v>
      </c>
      <c r="L432" s="3" t="s">
        <v>1163</v>
      </c>
      <c r="M432" s="3">
        <v>599.84</v>
      </c>
      <c r="N432" s="3">
        <v>1330.85</v>
      </c>
      <c r="O432" s="3">
        <v>0.115</v>
      </c>
      <c r="P432" s="3">
        <v>11</v>
      </c>
      <c r="Q432" s="3">
        <v>12955.824749999998</v>
      </c>
      <c r="R432" s="3">
        <f t="shared" si="30"/>
        <v>6598.2400000000007</v>
      </c>
      <c r="S432" s="3">
        <v>6357.5847499999973</v>
      </c>
      <c r="T432" s="3">
        <f t="shared" si="31"/>
        <v>0.49071246892252063</v>
      </c>
      <c r="U432" s="3" t="str">
        <f t="shared" si="32"/>
        <v>Nov-2024</v>
      </c>
      <c r="AB432" s="3">
        <f t="shared" si="33"/>
        <v>6598.2400000000007</v>
      </c>
      <c r="AC432" s="3">
        <f t="shared" si="34"/>
        <v>12955.824749999998</v>
      </c>
    </row>
    <row r="433" spans="1:29" x14ac:dyDescent="0.35">
      <c r="A433" s="3" t="s">
        <v>445</v>
      </c>
      <c r="B433" s="4">
        <v>45654</v>
      </c>
      <c r="C433" s="4">
        <v>45665</v>
      </c>
      <c r="D433" s="5">
        <v>11</v>
      </c>
      <c r="E433" s="3" t="s">
        <v>647</v>
      </c>
      <c r="F433" s="3" t="s">
        <v>659</v>
      </c>
      <c r="G433" s="3" t="s">
        <v>676</v>
      </c>
      <c r="H433" s="3" t="s">
        <v>706</v>
      </c>
      <c r="I433" s="3" t="s">
        <v>708</v>
      </c>
      <c r="J433" s="3" t="s">
        <v>723</v>
      </c>
      <c r="K433" s="3" t="s">
        <v>731</v>
      </c>
      <c r="L433" s="3" t="s">
        <v>1164</v>
      </c>
      <c r="M433" s="3">
        <v>1201.31</v>
      </c>
      <c r="N433" s="3">
        <v>2764.65</v>
      </c>
      <c r="O433" s="3">
        <v>0</v>
      </c>
      <c r="P433" s="3">
        <v>21</v>
      </c>
      <c r="Q433" s="3">
        <v>58057.65</v>
      </c>
      <c r="R433" s="3">
        <f t="shared" si="30"/>
        <v>25227.51</v>
      </c>
      <c r="S433" s="3">
        <v>32830.14</v>
      </c>
      <c r="T433" s="3">
        <f t="shared" si="31"/>
        <v>0.56547483406579491</v>
      </c>
      <c r="U433" s="3" t="str">
        <f t="shared" si="32"/>
        <v>Dec-2024</v>
      </c>
      <c r="AB433" s="3">
        <f t="shared" si="33"/>
        <v>25227.51</v>
      </c>
      <c r="AC433" s="3">
        <f t="shared" si="34"/>
        <v>58057.65</v>
      </c>
    </row>
    <row r="434" spans="1:29" x14ac:dyDescent="0.35">
      <c r="A434" s="3" t="s">
        <v>446</v>
      </c>
      <c r="B434" s="4">
        <v>45220</v>
      </c>
      <c r="C434" s="4">
        <v>45220</v>
      </c>
      <c r="D434" s="5">
        <v>0</v>
      </c>
      <c r="E434" s="3" t="s">
        <v>649</v>
      </c>
      <c r="F434" s="3" t="s">
        <v>658</v>
      </c>
      <c r="G434" s="3" t="s">
        <v>693</v>
      </c>
      <c r="H434" s="3" t="s">
        <v>706</v>
      </c>
      <c r="I434" s="3" t="s">
        <v>710</v>
      </c>
      <c r="J434" s="3" t="s">
        <v>713</v>
      </c>
      <c r="K434" s="3" t="s">
        <v>732</v>
      </c>
      <c r="L434" s="3" t="s">
        <v>1165</v>
      </c>
      <c r="M434" s="3">
        <v>384.19</v>
      </c>
      <c r="N434" s="3">
        <v>278.35000000000002</v>
      </c>
      <c r="O434" s="3">
        <v>5.6000000000000001E-2</v>
      </c>
      <c r="P434" s="3">
        <v>10</v>
      </c>
      <c r="Q434" s="3">
        <v>2627.6239999999998</v>
      </c>
      <c r="R434" s="3">
        <f t="shared" si="30"/>
        <v>3841.9</v>
      </c>
      <c r="S434" s="3">
        <v>1214.2760000000003</v>
      </c>
      <c r="T434" s="3">
        <f t="shared" si="31"/>
        <v>0.46211938998882657</v>
      </c>
      <c r="U434" s="3" t="str">
        <f t="shared" si="32"/>
        <v>Oct-2023</v>
      </c>
      <c r="AB434" s="3">
        <f t="shared" si="33"/>
        <v>3841.9</v>
      </c>
      <c r="AC434" s="3">
        <f t="shared" si="34"/>
        <v>2627.6239999999998</v>
      </c>
    </row>
    <row r="435" spans="1:29" x14ac:dyDescent="0.35">
      <c r="A435" s="3" t="s">
        <v>447</v>
      </c>
      <c r="B435" s="4">
        <v>45636</v>
      </c>
      <c r="C435" s="4">
        <v>45645</v>
      </c>
      <c r="D435" s="5">
        <v>9</v>
      </c>
      <c r="E435" s="3" t="s">
        <v>646</v>
      </c>
      <c r="F435" s="3" t="s">
        <v>651</v>
      </c>
      <c r="G435" s="3" t="s">
        <v>665</v>
      </c>
      <c r="H435" s="3" t="s">
        <v>701</v>
      </c>
      <c r="I435" s="3" t="s">
        <v>707</v>
      </c>
      <c r="J435" s="3" t="s">
        <v>719</v>
      </c>
      <c r="K435" s="3" t="s">
        <v>732</v>
      </c>
      <c r="L435" s="3" t="s">
        <v>1166</v>
      </c>
      <c r="M435" s="3">
        <v>488.68</v>
      </c>
      <c r="N435" s="3">
        <v>984.36</v>
      </c>
      <c r="O435" s="3">
        <v>5.8999999999999997E-2</v>
      </c>
      <c r="P435" s="3">
        <v>14</v>
      </c>
      <c r="Q435" s="3">
        <v>12967.958640000001</v>
      </c>
      <c r="R435" s="3">
        <f t="shared" si="30"/>
        <v>6841.52</v>
      </c>
      <c r="S435" s="3">
        <v>6126.4386400000003</v>
      </c>
      <c r="T435" s="3">
        <f t="shared" si="31"/>
        <v>0.47242891576649876</v>
      </c>
      <c r="U435" s="3" t="str">
        <f t="shared" si="32"/>
        <v>Dec-2024</v>
      </c>
      <c r="AB435" s="3">
        <f t="shared" si="33"/>
        <v>6841.52</v>
      </c>
      <c r="AC435" s="3">
        <f t="shared" si="34"/>
        <v>12967.958640000001</v>
      </c>
    </row>
    <row r="436" spans="1:29" x14ac:dyDescent="0.35">
      <c r="A436" s="3" t="s">
        <v>448</v>
      </c>
      <c r="B436" s="4">
        <v>45542</v>
      </c>
      <c r="C436" s="4">
        <v>45553</v>
      </c>
      <c r="D436" s="5">
        <v>11</v>
      </c>
      <c r="E436" s="3" t="s">
        <v>647</v>
      </c>
      <c r="F436" s="3" t="s">
        <v>659</v>
      </c>
      <c r="G436" s="3" t="s">
        <v>699</v>
      </c>
      <c r="H436" s="3" t="s">
        <v>704</v>
      </c>
      <c r="I436" s="3" t="s">
        <v>710</v>
      </c>
      <c r="J436" s="3" t="s">
        <v>719</v>
      </c>
      <c r="K436" s="3" t="s">
        <v>729</v>
      </c>
      <c r="L436" s="3" t="s">
        <v>1167</v>
      </c>
      <c r="M436" s="3">
        <v>181.74</v>
      </c>
      <c r="N436" s="3">
        <v>190.84</v>
      </c>
      <c r="O436" s="3">
        <v>0.214</v>
      </c>
      <c r="P436" s="3">
        <v>13</v>
      </c>
      <c r="Q436" s="3">
        <v>1950.0031200000001</v>
      </c>
      <c r="R436" s="3">
        <f t="shared" si="30"/>
        <v>2362.62</v>
      </c>
      <c r="S436" s="3">
        <v>412.61687999999981</v>
      </c>
      <c r="T436" s="3">
        <f t="shared" si="31"/>
        <v>0.21159806144310159</v>
      </c>
      <c r="U436" s="3" t="str">
        <f t="shared" si="32"/>
        <v>Sep-2024</v>
      </c>
      <c r="AB436" s="3">
        <f t="shared" si="33"/>
        <v>2362.62</v>
      </c>
      <c r="AC436" s="3">
        <f t="shared" si="34"/>
        <v>1984.7360000000001</v>
      </c>
    </row>
    <row r="437" spans="1:29" x14ac:dyDescent="0.35">
      <c r="A437" s="3" t="s">
        <v>449</v>
      </c>
      <c r="B437" s="4">
        <v>45217</v>
      </c>
      <c r="C437" s="4">
        <v>45219</v>
      </c>
      <c r="D437" s="5">
        <v>2</v>
      </c>
      <c r="E437" s="3" t="s">
        <v>646</v>
      </c>
      <c r="F437" s="3" t="s">
        <v>650</v>
      </c>
      <c r="G437" s="3" t="s">
        <v>662</v>
      </c>
      <c r="H437" s="3" t="s">
        <v>704</v>
      </c>
      <c r="I437" s="3" t="s">
        <v>707</v>
      </c>
      <c r="J437" s="3" t="s">
        <v>713</v>
      </c>
      <c r="K437" s="3" t="s">
        <v>730</v>
      </c>
      <c r="L437" s="3" t="s">
        <v>1168</v>
      </c>
      <c r="M437" s="3">
        <v>774.12</v>
      </c>
      <c r="N437" s="3">
        <v>908.3</v>
      </c>
      <c r="O437" s="3">
        <v>0</v>
      </c>
      <c r="P437" s="3">
        <v>30</v>
      </c>
      <c r="Q437" s="3">
        <v>27249</v>
      </c>
      <c r="R437" s="3">
        <f t="shared" si="30"/>
        <v>23223.599999999999</v>
      </c>
      <c r="S437" s="3">
        <v>4025.4000000000015</v>
      </c>
      <c r="T437" s="3">
        <f t="shared" si="31"/>
        <v>0.14772652207420461</v>
      </c>
      <c r="U437" s="3" t="str">
        <f t="shared" si="32"/>
        <v>Oct-2023</v>
      </c>
      <c r="AB437" s="3">
        <f t="shared" si="33"/>
        <v>23223.599999999999</v>
      </c>
      <c r="AC437" s="3">
        <f t="shared" si="34"/>
        <v>27249</v>
      </c>
    </row>
    <row r="438" spans="1:29" x14ac:dyDescent="0.35">
      <c r="A438" s="3" t="s">
        <v>450</v>
      </c>
      <c r="B438" s="4">
        <v>45650</v>
      </c>
      <c r="C438" s="4">
        <v>45670</v>
      </c>
      <c r="D438" s="5">
        <v>20</v>
      </c>
      <c r="E438" s="3" t="s">
        <v>647</v>
      </c>
      <c r="F438" s="3" t="s">
        <v>654</v>
      </c>
      <c r="G438" s="3" t="s">
        <v>668</v>
      </c>
      <c r="H438" s="3" t="s">
        <v>701</v>
      </c>
      <c r="I438" s="3" t="s">
        <v>709</v>
      </c>
      <c r="J438" s="3" t="s">
        <v>726</v>
      </c>
      <c r="K438" s="3" t="s">
        <v>729</v>
      </c>
      <c r="L438" s="3" t="s">
        <v>1169</v>
      </c>
      <c r="M438" s="3">
        <v>126.15</v>
      </c>
      <c r="N438" s="3">
        <v>284.23</v>
      </c>
      <c r="O438" s="3">
        <v>0.113</v>
      </c>
      <c r="P438" s="3">
        <v>22</v>
      </c>
      <c r="Q438" s="3">
        <v>5546.4642200000008</v>
      </c>
      <c r="R438" s="3">
        <f t="shared" si="30"/>
        <v>2775.3</v>
      </c>
      <c r="S438" s="3">
        <v>2771.1642200000006</v>
      </c>
      <c r="T438" s="3">
        <f t="shared" si="31"/>
        <v>0.49962716968541088</v>
      </c>
      <c r="U438" s="3" t="str">
        <f t="shared" si="32"/>
        <v>Dec-2024</v>
      </c>
      <c r="AB438" s="3">
        <f t="shared" si="33"/>
        <v>2775.3</v>
      </c>
      <c r="AC438" s="3">
        <f t="shared" si="34"/>
        <v>5546.4642200000008</v>
      </c>
    </row>
    <row r="439" spans="1:29" x14ac:dyDescent="0.35">
      <c r="A439" s="3" t="s">
        <v>451</v>
      </c>
      <c r="B439" s="4">
        <v>45037</v>
      </c>
      <c r="C439" s="4">
        <v>45035</v>
      </c>
      <c r="D439" s="5">
        <v>2</v>
      </c>
      <c r="E439" s="3" t="s">
        <v>647</v>
      </c>
      <c r="F439" s="3" t="s">
        <v>652</v>
      </c>
      <c r="G439" s="3" t="s">
        <v>694</v>
      </c>
      <c r="H439" s="3" t="s">
        <v>705</v>
      </c>
      <c r="I439" s="3" t="s">
        <v>711</v>
      </c>
      <c r="J439" s="3" t="s">
        <v>724</v>
      </c>
      <c r="K439" s="3" t="s">
        <v>727</v>
      </c>
      <c r="L439" s="3" t="s">
        <v>1170</v>
      </c>
      <c r="M439" s="3">
        <v>607.04</v>
      </c>
      <c r="N439" s="3">
        <v>1229.3399999999999</v>
      </c>
      <c r="O439" s="3">
        <v>0.14699999999999999</v>
      </c>
      <c r="P439" s="3">
        <v>7</v>
      </c>
      <c r="Q439" s="3">
        <v>7340.3891399999993</v>
      </c>
      <c r="R439" s="3">
        <f t="shared" si="30"/>
        <v>4249.28</v>
      </c>
      <c r="S439" s="3">
        <v>3091.1091399999996</v>
      </c>
      <c r="T439" s="3">
        <f t="shared" si="31"/>
        <v>0.42110970972310058</v>
      </c>
      <c r="U439" s="3" t="str">
        <f t="shared" si="32"/>
        <v>Apr-2023</v>
      </c>
      <c r="AB439" s="3">
        <f t="shared" si="33"/>
        <v>4249.28</v>
      </c>
      <c r="AC439" s="3">
        <f t="shared" si="34"/>
        <v>7340.3891399999993</v>
      </c>
    </row>
    <row r="440" spans="1:29" x14ac:dyDescent="0.35">
      <c r="A440" s="3" t="s">
        <v>452</v>
      </c>
      <c r="B440" s="4">
        <v>45290</v>
      </c>
      <c r="C440" s="4">
        <v>45299</v>
      </c>
      <c r="D440" s="5">
        <v>9</v>
      </c>
      <c r="E440" s="3" t="s">
        <v>649</v>
      </c>
      <c r="F440" s="3" t="s">
        <v>657</v>
      </c>
      <c r="G440" s="3" t="s">
        <v>673</v>
      </c>
      <c r="H440" s="3" t="s">
        <v>704</v>
      </c>
      <c r="I440" s="3" t="s">
        <v>709</v>
      </c>
      <c r="J440" s="3" t="s">
        <v>716</v>
      </c>
      <c r="K440" s="3" t="s">
        <v>733</v>
      </c>
      <c r="L440" s="3" t="s">
        <v>1171</v>
      </c>
      <c r="M440" s="3">
        <v>861.1</v>
      </c>
      <c r="N440" s="3">
        <v>1224.72</v>
      </c>
      <c r="O440" s="3">
        <v>0.17399999999999999</v>
      </c>
      <c r="P440" s="3">
        <v>24</v>
      </c>
      <c r="Q440" s="3">
        <v>24278.849280000002</v>
      </c>
      <c r="R440" s="3">
        <f t="shared" si="30"/>
        <v>20666.400000000001</v>
      </c>
      <c r="S440" s="3">
        <v>3612.4492800000007</v>
      </c>
      <c r="T440" s="3">
        <f t="shared" si="31"/>
        <v>0.14878997098827909</v>
      </c>
      <c r="U440" s="3" t="str">
        <f t="shared" si="32"/>
        <v>Dec-2023</v>
      </c>
      <c r="AB440" s="3">
        <f t="shared" si="33"/>
        <v>20666.400000000001</v>
      </c>
      <c r="AC440" s="3">
        <f t="shared" si="34"/>
        <v>24278.849280000002</v>
      </c>
    </row>
    <row r="441" spans="1:29" x14ac:dyDescent="0.35">
      <c r="A441" s="3" t="s">
        <v>453</v>
      </c>
      <c r="B441" s="4">
        <v>44978</v>
      </c>
      <c r="C441" s="4">
        <v>44997</v>
      </c>
      <c r="D441" s="5">
        <v>19</v>
      </c>
      <c r="E441" s="3" t="s">
        <v>646</v>
      </c>
      <c r="F441" s="3" t="s">
        <v>650</v>
      </c>
      <c r="G441" s="3" t="s">
        <v>678</v>
      </c>
      <c r="H441" s="3" t="s">
        <v>701</v>
      </c>
      <c r="I441" s="3" t="s">
        <v>708</v>
      </c>
      <c r="J441" s="3" t="s">
        <v>721</v>
      </c>
      <c r="K441" s="3" t="s">
        <v>729</v>
      </c>
      <c r="L441" s="3" t="s">
        <v>1172</v>
      </c>
      <c r="M441" s="3">
        <v>352.65</v>
      </c>
      <c r="N441" s="3">
        <v>485.86</v>
      </c>
      <c r="O441" s="3">
        <v>4.1000000000000002E-2</v>
      </c>
      <c r="P441" s="3">
        <v>6</v>
      </c>
      <c r="Q441" s="3">
        <v>2795.6384399999997</v>
      </c>
      <c r="R441" s="3">
        <f t="shared" si="30"/>
        <v>2115.8999999999996</v>
      </c>
      <c r="S441" s="3">
        <v>679.73844000000008</v>
      </c>
      <c r="T441" s="3">
        <f t="shared" si="31"/>
        <v>0.24314247159943908</v>
      </c>
      <c r="U441" s="3" t="str">
        <f t="shared" si="32"/>
        <v>Feb-2023</v>
      </c>
      <c r="AB441" s="3">
        <f t="shared" si="33"/>
        <v>2115.8999999999996</v>
      </c>
      <c r="AC441" s="3">
        <f t="shared" si="34"/>
        <v>2795.6384399999997</v>
      </c>
    </row>
    <row r="442" spans="1:29" x14ac:dyDescent="0.35">
      <c r="A442" s="3" t="s">
        <v>454</v>
      </c>
      <c r="B442" s="4">
        <v>45063</v>
      </c>
      <c r="C442" s="4">
        <v>45080</v>
      </c>
      <c r="D442" s="5">
        <v>17</v>
      </c>
      <c r="E442" s="3" t="s">
        <v>647</v>
      </c>
      <c r="F442" s="3" t="s">
        <v>659</v>
      </c>
      <c r="G442" s="3" t="s">
        <v>699</v>
      </c>
      <c r="H442" s="3" t="s">
        <v>703</v>
      </c>
      <c r="I442" s="3" t="s">
        <v>710</v>
      </c>
      <c r="J442" s="3" t="s">
        <v>724</v>
      </c>
      <c r="K442" s="3" t="s">
        <v>728</v>
      </c>
      <c r="L442" s="3" t="s">
        <v>1173</v>
      </c>
      <c r="M442" s="3">
        <v>979.59</v>
      </c>
      <c r="N442" s="3">
        <v>2210.94</v>
      </c>
      <c r="O442" s="3">
        <v>0.15</v>
      </c>
      <c r="P442" s="3">
        <v>11</v>
      </c>
      <c r="Q442" s="3">
        <v>20672.289000000001</v>
      </c>
      <c r="R442" s="3">
        <f t="shared" si="30"/>
        <v>10775.49</v>
      </c>
      <c r="S442" s="3">
        <v>9896.7990000000009</v>
      </c>
      <c r="T442" s="3">
        <f t="shared" si="31"/>
        <v>0.47874712858358359</v>
      </c>
      <c r="U442" s="3" t="str">
        <f t="shared" si="32"/>
        <v>May-2023</v>
      </c>
      <c r="AB442" s="3">
        <f t="shared" si="33"/>
        <v>10775.49</v>
      </c>
      <c r="AC442" s="3">
        <f t="shared" si="34"/>
        <v>20672.289000000001</v>
      </c>
    </row>
    <row r="443" spans="1:29" x14ac:dyDescent="0.35">
      <c r="A443" s="3" t="s">
        <v>455</v>
      </c>
      <c r="B443" s="4">
        <v>45374</v>
      </c>
      <c r="C443" s="4">
        <v>45377</v>
      </c>
      <c r="D443" s="5">
        <v>3</v>
      </c>
      <c r="E443" s="3" t="s">
        <v>647</v>
      </c>
      <c r="F443" s="3" t="s">
        <v>654</v>
      </c>
      <c r="G443" s="3" t="s">
        <v>668</v>
      </c>
      <c r="H443" s="3" t="s">
        <v>702</v>
      </c>
      <c r="I443" s="3" t="s">
        <v>711</v>
      </c>
      <c r="J443" s="3" t="s">
        <v>715</v>
      </c>
      <c r="K443" s="3" t="s">
        <v>730</v>
      </c>
      <c r="L443" s="3" t="s">
        <v>1174</v>
      </c>
      <c r="M443" s="3">
        <v>382.21</v>
      </c>
      <c r="N443" s="3">
        <v>571.89</v>
      </c>
      <c r="O443" s="3">
        <v>0.14799999999999999</v>
      </c>
      <c r="P443" s="3">
        <v>26</v>
      </c>
      <c r="Q443" s="3">
        <v>12668.50728</v>
      </c>
      <c r="R443" s="3">
        <f t="shared" si="30"/>
        <v>9937.4599999999991</v>
      </c>
      <c r="S443" s="3">
        <v>2731.0472800000007</v>
      </c>
      <c r="T443" s="3">
        <f t="shared" si="31"/>
        <v>0.2155776698578809</v>
      </c>
      <c r="U443" s="3" t="str">
        <f t="shared" si="32"/>
        <v>Mar-2024</v>
      </c>
      <c r="AB443" s="3">
        <f t="shared" si="33"/>
        <v>9937.4599999999991</v>
      </c>
      <c r="AC443" s="3">
        <f t="shared" si="34"/>
        <v>12668.50728</v>
      </c>
    </row>
    <row r="444" spans="1:29" x14ac:dyDescent="0.35">
      <c r="A444" s="3" t="s">
        <v>456</v>
      </c>
      <c r="B444" s="4">
        <v>45189</v>
      </c>
      <c r="C444" s="4">
        <v>45197</v>
      </c>
      <c r="D444" s="5">
        <v>8</v>
      </c>
      <c r="E444" s="3" t="s">
        <v>647</v>
      </c>
      <c r="F444" s="3" t="s">
        <v>654</v>
      </c>
      <c r="G444" s="3" t="s">
        <v>1422</v>
      </c>
      <c r="H444" s="3" t="s">
        <v>701</v>
      </c>
      <c r="I444" s="3" t="s">
        <v>1422</v>
      </c>
      <c r="J444" s="3" t="s">
        <v>717</v>
      </c>
      <c r="K444" s="3" t="s">
        <v>733</v>
      </c>
      <c r="L444" s="3" t="s">
        <v>1175</v>
      </c>
      <c r="M444" s="3">
        <v>1362.06</v>
      </c>
      <c r="N444" s="3">
        <v>3398.37</v>
      </c>
      <c r="O444" s="3">
        <v>0.157</v>
      </c>
      <c r="P444" s="3">
        <v>11</v>
      </c>
      <c r="Q444" s="3">
        <v>31513.085009999999</v>
      </c>
      <c r="R444" s="3">
        <f t="shared" si="30"/>
        <v>14982.66</v>
      </c>
      <c r="S444" s="3">
        <v>16530.425009999999</v>
      </c>
      <c r="T444" s="3">
        <f t="shared" si="31"/>
        <v>0.52455749745714919</v>
      </c>
      <c r="U444" s="3" t="str">
        <f t="shared" si="32"/>
        <v>Sep-2023</v>
      </c>
      <c r="AB444" s="3">
        <f t="shared" si="33"/>
        <v>14982.66</v>
      </c>
      <c r="AC444" s="3">
        <f t="shared" si="34"/>
        <v>31513.085009999999</v>
      </c>
    </row>
    <row r="445" spans="1:29" x14ac:dyDescent="0.35">
      <c r="A445" s="3" t="s">
        <v>457</v>
      </c>
      <c r="B445" s="4">
        <v>45526</v>
      </c>
      <c r="C445" s="4">
        <v>45539</v>
      </c>
      <c r="D445" s="5">
        <v>13</v>
      </c>
      <c r="E445" s="3" t="s">
        <v>649</v>
      </c>
      <c r="F445" s="3" t="s">
        <v>656</v>
      </c>
      <c r="G445" s="3" t="s">
        <v>698</v>
      </c>
      <c r="H445" s="3" t="s">
        <v>703</v>
      </c>
      <c r="I445" s="3" t="s">
        <v>707</v>
      </c>
      <c r="J445" s="3" t="s">
        <v>716</v>
      </c>
      <c r="K445" s="3" t="s">
        <v>728</v>
      </c>
      <c r="L445" s="3" t="s">
        <v>1176</v>
      </c>
      <c r="M445" s="3">
        <v>90.04</v>
      </c>
      <c r="N445" s="3">
        <v>194.62</v>
      </c>
      <c r="O445" s="3">
        <v>4.2999999999999997E-2</v>
      </c>
      <c r="P445" s="3">
        <v>32</v>
      </c>
      <c r="Q445" s="3">
        <v>5960.04288</v>
      </c>
      <c r="R445" s="3">
        <f t="shared" si="30"/>
        <v>2881.28</v>
      </c>
      <c r="S445" s="3">
        <v>3078.7628799999998</v>
      </c>
      <c r="T445" s="3">
        <f t="shared" si="31"/>
        <v>0.51656723650954672</v>
      </c>
      <c r="U445" s="3" t="str">
        <f t="shared" si="32"/>
        <v>Aug-2024</v>
      </c>
      <c r="AB445" s="3">
        <f t="shared" si="33"/>
        <v>2881.28</v>
      </c>
      <c r="AC445" s="3">
        <f t="shared" si="34"/>
        <v>5960.04288</v>
      </c>
    </row>
    <row r="446" spans="1:29" x14ac:dyDescent="0.35">
      <c r="A446" s="3" t="s">
        <v>458</v>
      </c>
      <c r="B446" s="4">
        <v>45560</v>
      </c>
      <c r="C446" s="4">
        <v>45568</v>
      </c>
      <c r="D446" s="5">
        <v>8</v>
      </c>
      <c r="E446" s="3" t="s">
        <v>648</v>
      </c>
      <c r="F446" s="3" t="s">
        <v>653</v>
      </c>
      <c r="G446" s="3" t="s">
        <v>667</v>
      </c>
      <c r="H446" s="3" t="s">
        <v>704</v>
      </c>
      <c r="I446" s="3" t="s">
        <v>708</v>
      </c>
      <c r="J446" s="3" t="s">
        <v>718</v>
      </c>
      <c r="K446" s="3" t="s">
        <v>728</v>
      </c>
      <c r="L446" s="3" t="s">
        <v>1177</v>
      </c>
      <c r="M446" s="3">
        <v>558.19000000000005</v>
      </c>
      <c r="N446" s="3">
        <v>1031.6400000000001</v>
      </c>
      <c r="O446" s="3">
        <v>0</v>
      </c>
      <c r="P446" s="3">
        <v>21</v>
      </c>
      <c r="Q446" s="3">
        <v>21664.440000000002</v>
      </c>
      <c r="R446" s="3">
        <f t="shared" si="30"/>
        <v>11721.990000000002</v>
      </c>
      <c r="S446" s="3">
        <v>9942.4500000000007</v>
      </c>
      <c r="T446" s="3">
        <f t="shared" si="31"/>
        <v>0.45892947152107322</v>
      </c>
      <c r="U446" s="3" t="str">
        <f t="shared" si="32"/>
        <v>Sep-2024</v>
      </c>
      <c r="AB446" s="3">
        <f t="shared" si="33"/>
        <v>11721.990000000002</v>
      </c>
      <c r="AC446" s="3">
        <f t="shared" si="34"/>
        <v>21664.440000000002</v>
      </c>
    </row>
    <row r="447" spans="1:29" x14ac:dyDescent="0.35">
      <c r="A447" s="3" t="s">
        <v>459</v>
      </c>
      <c r="B447" s="4">
        <v>45090</v>
      </c>
      <c r="C447" s="4">
        <v>45101</v>
      </c>
      <c r="D447" s="5">
        <v>11</v>
      </c>
      <c r="E447" s="3" t="s">
        <v>648</v>
      </c>
      <c r="F447" s="3" t="s">
        <v>653</v>
      </c>
      <c r="G447" s="3" t="s">
        <v>667</v>
      </c>
      <c r="H447" s="3" t="s">
        <v>701</v>
      </c>
      <c r="I447" s="3" t="s">
        <v>708</v>
      </c>
      <c r="J447" s="3" t="s">
        <v>712</v>
      </c>
      <c r="K447" s="3" t="s">
        <v>728</v>
      </c>
      <c r="L447" s="3" t="s">
        <v>1178</v>
      </c>
      <c r="M447" s="3">
        <v>247.07</v>
      </c>
      <c r="N447" s="3">
        <v>495.19</v>
      </c>
      <c r="O447" s="3">
        <v>2.8000000000000001E-2</v>
      </c>
      <c r="P447" s="3">
        <v>4</v>
      </c>
      <c r="Q447" s="3">
        <v>1925.29872</v>
      </c>
      <c r="R447" s="3">
        <f t="shared" si="30"/>
        <v>988.28</v>
      </c>
      <c r="S447" s="3">
        <v>937.01872000000003</v>
      </c>
      <c r="T447" s="3">
        <f t="shared" si="31"/>
        <v>0.48668744764968214</v>
      </c>
      <c r="U447" s="3" t="str">
        <f t="shared" si="32"/>
        <v>Jun-2023</v>
      </c>
      <c r="AB447" s="3">
        <f t="shared" si="33"/>
        <v>988.28</v>
      </c>
      <c r="AC447" s="3">
        <f t="shared" si="34"/>
        <v>1925.29872</v>
      </c>
    </row>
    <row r="448" spans="1:29" x14ac:dyDescent="0.35">
      <c r="A448" s="3" t="s">
        <v>460</v>
      </c>
      <c r="B448" s="4">
        <v>45284</v>
      </c>
      <c r="C448" s="4">
        <v>45304</v>
      </c>
      <c r="D448" s="5">
        <v>20</v>
      </c>
      <c r="E448" s="3" t="s">
        <v>647</v>
      </c>
      <c r="F448" s="3" t="s">
        <v>652</v>
      </c>
      <c r="G448" s="3" t="s">
        <v>694</v>
      </c>
      <c r="H448" s="3" t="s">
        <v>702</v>
      </c>
      <c r="I448" s="3" t="s">
        <v>711</v>
      </c>
      <c r="J448" s="3" t="s">
        <v>717</v>
      </c>
      <c r="K448" s="3" t="s">
        <v>731</v>
      </c>
      <c r="L448" s="3" t="s">
        <v>1179</v>
      </c>
      <c r="M448" s="3">
        <v>625.37</v>
      </c>
      <c r="N448" s="3">
        <v>1319.04</v>
      </c>
      <c r="O448" s="3">
        <v>7.3999999999999996E-2</v>
      </c>
      <c r="P448" s="3">
        <v>8</v>
      </c>
      <c r="Q448" s="3">
        <v>9771.4483199999995</v>
      </c>
      <c r="R448" s="3">
        <f t="shared" si="30"/>
        <v>5002.96</v>
      </c>
      <c r="S448" s="3">
        <v>4768.4883199999995</v>
      </c>
      <c r="T448" s="3">
        <f t="shared" si="31"/>
        <v>0.48800220436513547</v>
      </c>
      <c r="U448" s="3" t="str">
        <f t="shared" si="32"/>
        <v>Dec-2023</v>
      </c>
      <c r="AB448" s="3">
        <f t="shared" si="33"/>
        <v>5002.96</v>
      </c>
      <c r="AC448" s="3">
        <f t="shared" si="34"/>
        <v>9771.4483199999995</v>
      </c>
    </row>
    <row r="449" spans="1:29" x14ac:dyDescent="0.35">
      <c r="A449" s="3" t="s">
        <v>461</v>
      </c>
      <c r="B449" s="4">
        <v>45746</v>
      </c>
      <c r="C449" s="4">
        <v>45776</v>
      </c>
      <c r="D449" s="5">
        <v>30</v>
      </c>
      <c r="E449" s="3" t="s">
        <v>646</v>
      </c>
      <c r="F449" s="3" t="s">
        <v>661</v>
      </c>
      <c r="G449" s="3" t="s">
        <v>687</v>
      </c>
      <c r="H449" s="3" t="s">
        <v>704</v>
      </c>
      <c r="I449" s="3" t="s">
        <v>709</v>
      </c>
      <c r="J449" s="3" t="s">
        <v>713</v>
      </c>
      <c r="K449" s="3" t="s">
        <v>732</v>
      </c>
      <c r="L449" s="3" t="s">
        <v>1180</v>
      </c>
      <c r="M449" s="3">
        <v>194.6</v>
      </c>
      <c r="N449" s="3">
        <v>314.87</v>
      </c>
      <c r="O449" s="3">
        <v>0.29299999999999998</v>
      </c>
      <c r="P449" s="3">
        <v>25</v>
      </c>
      <c r="Q449" s="3">
        <v>5565.3272500000003</v>
      </c>
      <c r="R449" s="3">
        <f t="shared" si="30"/>
        <v>4865</v>
      </c>
      <c r="S449" s="3">
        <v>700.32725000000028</v>
      </c>
      <c r="T449" s="3">
        <f t="shared" si="31"/>
        <v>0.1258375686712763</v>
      </c>
      <c r="U449" s="3" t="str">
        <f t="shared" si="32"/>
        <v>Mar-2025</v>
      </c>
      <c r="AB449" s="3">
        <f t="shared" si="33"/>
        <v>4865</v>
      </c>
      <c r="AC449" s="3">
        <f t="shared" si="34"/>
        <v>6297.4000000000005</v>
      </c>
    </row>
    <row r="450" spans="1:29" x14ac:dyDescent="0.35">
      <c r="A450" s="3" t="s">
        <v>462</v>
      </c>
      <c r="B450" s="4">
        <v>45446</v>
      </c>
      <c r="C450" s="4">
        <v>45467</v>
      </c>
      <c r="D450" s="5">
        <v>21</v>
      </c>
      <c r="E450" s="3" t="s">
        <v>648</v>
      </c>
      <c r="F450" s="3" t="s">
        <v>653</v>
      </c>
      <c r="G450" s="3" t="s">
        <v>667</v>
      </c>
      <c r="H450" s="3" t="s">
        <v>705</v>
      </c>
      <c r="I450" s="3" t="s">
        <v>711</v>
      </c>
      <c r="J450" s="3" t="s">
        <v>715</v>
      </c>
      <c r="K450" s="3" t="s">
        <v>732</v>
      </c>
      <c r="L450" s="3" t="s">
        <v>1181</v>
      </c>
      <c r="M450" s="3">
        <v>1205.5</v>
      </c>
      <c r="N450" s="3">
        <v>2210.17</v>
      </c>
      <c r="O450" s="3">
        <v>0.104</v>
      </c>
      <c r="P450" s="3">
        <v>23</v>
      </c>
      <c r="Q450" s="3">
        <v>45547.183360000003</v>
      </c>
      <c r="R450" s="3">
        <f t="shared" si="30"/>
        <v>27726.5</v>
      </c>
      <c r="S450" s="3">
        <v>17820.683360000003</v>
      </c>
      <c r="T450" s="3">
        <f t="shared" si="31"/>
        <v>0.39125763758314652</v>
      </c>
      <c r="U450" s="3" t="str">
        <f t="shared" si="32"/>
        <v>Jun-2024</v>
      </c>
      <c r="AB450" s="3">
        <f t="shared" si="33"/>
        <v>27726.5</v>
      </c>
      <c r="AC450" s="3">
        <f t="shared" si="34"/>
        <v>45547.183360000003</v>
      </c>
    </row>
    <row r="451" spans="1:29" x14ac:dyDescent="0.35">
      <c r="A451" s="3" t="s">
        <v>463</v>
      </c>
      <c r="B451" s="4">
        <v>45454</v>
      </c>
      <c r="C451" s="4">
        <v>45482</v>
      </c>
      <c r="D451" s="5">
        <v>28</v>
      </c>
      <c r="E451" s="3" t="s">
        <v>646</v>
      </c>
      <c r="F451" s="3" t="s">
        <v>651</v>
      </c>
      <c r="G451" s="3" t="s">
        <v>663</v>
      </c>
      <c r="H451" s="3" t="s">
        <v>701</v>
      </c>
      <c r="I451" s="3" t="s">
        <v>709</v>
      </c>
      <c r="J451" s="3" t="s">
        <v>714</v>
      </c>
      <c r="K451" s="3" t="s">
        <v>730</v>
      </c>
      <c r="L451" s="3" t="s">
        <v>1182</v>
      </c>
      <c r="M451" s="3">
        <v>895.54</v>
      </c>
      <c r="N451" s="3">
        <v>1045</v>
      </c>
      <c r="O451" s="3">
        <v>0.216</v>
      </c>
      <c r="P451" s="3">
        <v>15</v>
      </c>
      <c r="Q451" s="3">
        <v>12289.2</v>
      </c>
      <c r="R451" s="3">
        <f t="shared" ref="R451:R514" si="35">M451*P451</f>
        <v>13433.099999999999</v>
      </c>
      <c r="S451" s="3">
        <v>1143.8999999999978</v>
      </c>
      <c r="T451" s="3">
        <f t="shared" ref="T451:T514" si="36">IF(Q451=0,0,S451/Q451)</f>
        <v>9.3081730299775234E-2</v>
      </c>
      <c r="U451" s="3" t="str">
        <f t="shared" ref="U451:U514" si="37">TEXT(B451, "mmm-yyyy")</f>
        <v>Jun-2024</v>
      </c>
      <c r="AB451" s="3">
        <f t="shared" ref="AB451:AB514" si="38">M451 * P451 * (1+ $AF$2)</f>
        <v>13433.099999999999</v>
      </c>
      <c r="AC451" s="3">
        <f t="shared" ref="AC451:AC514" si="39">N451 * P451 * (1- MIN(O451, $AF$3))</f>
        <v>12540</v>
      </c>
    </row>
    <row r="452" spans="1:29" x14ac:dyDescent="0.35">
      <c r="A452" s="3" t="s">
        <v>464</v>
      </c>
      <c r="B452" s="4">
        <v>45129</v>
      </c>
      <c r="C452" s="4">
        <v>45128</v>
      </c>
      <c r="D452" s="5">
        <v>1</v>
      </c>
      <c r="E452" s="3" t="s">
        <v>647</v>
      </c>
      <c r="F452" s="3" t="s">
        <v>654</v>
      </c>
      <c r="G452" s="3" t="s">
        <v>680</v>
      </c>
      <c r="H452" s="3" t="s">
        <v>705</v>
      </c>
      <c r="I452" s="3" t="s">
        <v>710</v>
      </c>
      <c r="J452" s="3" t="s">
        <v>718</v>
      </c>
      <c r="K452" s="3" t="s">
        <v>728</v>
      </c>
      <c r="L452" s="3" t="s">
        <v>1183</v>
      </c>
      <c r="M452" s="3">
        <v>946.99</v>
      </c>
      <c r="N452" s="3">
        <v>2132.19</v>
      </c>
      <c r="O452" s="3">
        <v>0.16500000000000001</v>
      </c>
      <c r="P452" s="3">
        <v>7</v>
      </c>
      <c r="Q452" s="3">
        <v>12462.65055</v>
      </c>
      <c r="R452" s="3">
        <f t="shared" si="35"/>
        <v>6628.93</v>
      </c>
      <c r="S452" s="3">
        <v>5833.72055</v>
      </c>
      <c r="T452" s="3">
        <f t="shared" si="36"/>
        <v>0.46809629513362228</v>
      </c>
      <c r="U452" s="3" t="str">
        <f t="shared" si="37"/>
        <v>Jul-2023</v>
      </c>
      <c r="AB452" s="3">
        <f t="shared" si="38"/>
        <v>6628.93</v>
      </c>
      <c r="AC452" s="3">
        <f t="shared" si="39"/>
        <v>12462.65055</v>
      </c>
    </row>
    <row r="453" spans="1:29" x14ac:dyDescent="0.35">
      <c r="A453" s="3" t="s">
        <v>465</v>
      </c>
      <c r="B453" s="4">
        <v>44945</v>
      </c>
      <c r="C453" s="4">
        <v>44960</v>
      </c>
      <c r="D453" s="5">
        <v>15</v>
      </c>
      <c r="E453" s="3" t="s">
        <v>649</v>
      </c>
      <c r="F453" s="3" t="s">
        <v>658</v>
      </c>
      <c r="G453" s="3" t="s">
        <v>683</v>
      </c>
      <c r="H453" s="3" t="s">
        <v>706</v>
      </c>
      <c r="I453" s="3" t="s">
        <v>710</v>
      </c>
      <c r="J453" s="3" t="s">
        <v>715</v>
      </c>
      <c r="K453" s="3" t="s">
        <v>733</v>
      </c>
      <c r="L453" s="3" t="s">
        <v>1184</v>
      </c>
      <c r="M453" s="3">
        <v>873.06</v>
      </c>
      <c r="N453" s="3">
        <v>2101.5500000000002</v>
      </c>
      <c r="O453" s="3">
        <v>6.6000000000000003E-2</v>
      </c>
      <c r="P453" s="3">
        <v>10</v>
      </c>
      <c r="Q453" s="3">
        <v>19628.476999999999</v>
      </c>
      <c r="R453" s="3">
        <f t="shared" si="35"/>
        <v>8730.5999999999985</v>
      </c>
      <c r="S453" s="3">
        <v>10897.877</v>
      </c>
      <c r="T453" s="3">
        <f t="shared" si="36"/>
        <v>0.55520746719167269</v>
      </c>
      <c r="U453" s="3" t="str">
        <f t="shared" si="37"/>
        <v>Jan-2023</v>
      </c>
      <c r="AB453" s="3">
        <f t="shared" si="38"/>
        <v>8730.5999999999985</v>
      </c>
      <c r="AC453" s="3">
        <f t="shared" si="39"/>
        <v>19628.476999999999</v>
      </c>
    </row>
    <row r="454" spans="1:29" x14ac:dyDescent="0.35">
      <c r="A454" s="3" t="s">
        <v>466</v>
      </c>
      <c r="B454" s="4">
        <v>45413</v>
      </c>
      <c r="C454" s="4">
        <v>45428</v>
      </c>
      <c r="D454" s="5">
        <v>15</v>
      </c>
      <c r="E454" s="3" t="s">
        <v>647</v>
      </c>
      <c r="F454" s="3" t="s">
        <v>654</v>
      </c>
      <c r="G454" s="3" t="s">
        <v>668</v>
      </c>
      <c r="H454" s="3" t="s">
        <v>705</v>
      </c>
      <c r="I454" s="3" t="s">
        <v>707</v>
      </c>
      <c r="J454" s="3" t="s">
        <v>716</v>
      </c>
      <c r="K454" s="3" t="s">
        <v>727</v>
      </c>
      <c r="L454" s="3" t="s">
        <v>1185</v>
      </c>
      <c r="M454" s="3">
        <v>901.19</v>
      </c>
      <c r="N454" s="3">
        <v>2125.44</v>
      </c>
      <c r="O454" s="3">
        <v>7.0999999999999994E-2</v>
      </c>
      <c r="P454" s="3">
        <v>12</v>
      </c>
      <c r="Q454" s="3">
        <v>23694.405119999999</v>
      </c>
      <c r="R454" s="3">
        <f t="shared" si="35"/>
        <v>10814.28</v>
      </c>
      <c r="S454" s="3">
        <v>12880.125119999999</v>
      </c>
      <c r="T454" s="3">
        <f t="shared" si="36"/>
        <v>0.54359352154100415</v>
      </c>
      <c r="U454" s="3" t="str">
        <f t="shared" si="37"/>
        <v>May-2024</v>
      </c>
      <c r="AB454" s="3">
        <f t="shared" si="38"/>
        <v>10814.28</v>
      </c>
      <c r="AC454" s="3">
        <f t="shared" si="39"/>
        <v>23694.405119999999</v>
      </c>
    </row>
    <row r="455" spans="1:29" x14ac:dyDescent="0.35">
      <c r="A455" s="3" t="s">
        <v>467</v>
      </c>
      <c r="B455" s="4">
        <v>45817</v>
      </c>
      <c r="C455" s="4">
        <v>45832</v>
      </c>
      <c r="D455" s="5">
        <v>15</v>
      </c>
      <c r="E455" s="3" t="s">
        <v>647</v>
      </c>
      <c r="F455" s="3" t="s">
        <v>652</v>
      </c>
      <c r="G455" s="3" t="s">
        <v>694</v>
      </c>
      <c r="H455" s="3" t="s">
        <v>701</v>
      </c>
      <c r="I455" s="3" t="s">
        <v>711</v>
      </c>
      <c r="J455" s="3" t="s">
        <v>717</v>
      </c>
      <c r="K455" s="3" t="s">
        <v>730</v>
      </c>
      <c r="L455" s="3" t="s">
        <v>1186</v>
      </c>
      <c r="M455" s="3">
        <v>400.39</v>
      </c>
      <c r="N455" s="3">
        <v>712.75</v>
      </c>
      <c r="O455" s="3">
        <v>0.115</v>
      </c>
      <c r="P455" s="3">
        <v>19</v>
      </c>
      <c r="Q455" s="3">
        <v>11984.891250000001</v>
      </c>
      <c r="R455" s="3">
        <f t="shared" si="35"/>
        <v>7607.41</v>
      </c>
      <c r="S455" s="3">
        <v>4377.4812500000007</v>
      </c>
      <c r="T455" s="3">
        <f t="shared" si="36"/>
        <v>0.36524997671547504</v>
      </c>
      <c r="U455" s="3" t="str">
        <f t="shared" si="37"/>
        <v>Jun-2025</v>
      </c>
      <c r="AB455" s="3">
        <f t="shared" si="38"/>
        <v>7607.41</v>
      </c>
      <c r="AC455" s="3">
        <f t="shared" si="39"/>
        <v>11984.891250000001</v>
      </c>
    </row>
    <row r="456" spans="1:29" x14ac:dyDescent="0.35">
      <c r="A456" s="3" t="s">
        <v>468</v>
      </c>
      <c r="B456" s="4">
        <v>45070</v>
      </c>
      <c r="C456" s="4">
        <v>45098</v>
      </c>
      <c r="D456" s="5">
        <v>28</v>
      </c>
      <c r="E456" s="3" t="s">
        <v>648</v>
      </c>
      <c r="F456" s="3" t="s">
        <v>660</v>
      </c>
      <c r="G456" s="3" t="s">
        <v>697</v>
      </c>
      <c r="H456" s="3" t="s">
        <v>705</v>
      </c>
      <c r="I456" s="3" t="s">
        <v>709</v>
      </c>
      <c r="J456" s="3" t="s">
        <v>715</v>
      </c>
      <c r="K456" s="3" t="s">
        <v>732</v>
      </c>
      <c r="L456" s="3" t="s">
        <v>1187</v>
      </c>
      <c r="M456" s="3">
        <v>813.97</v>
      </c>
      <c r="N456" s="3">
        <v>1568.83</v>
      </c>
      <c r="O456" s="3">
        <v>1.7000000000000001E-2</v>
      </c>
      <c r="P456" s="3">
        <v>15</v>
      </c>
      <c r="Q456" s="3">
        <v>23132.398349999996</v>
      </c>
      <c r="R456" s="3">
        <f t="shared" si="35"/>
        <v>12209.550000000001</v>
      </c>
      <c r="S456" s="3">
        <v>10922.848349999995</v>
      </c>
      <c r="T456" s="3">
        <f t="shared" si="36"/>
        <v>0.4721883215364911</v>
      </c>
      <c r="U456" s="3" t="str">
        <f t="shared" si="37"/>
        <v>May-2023</v>
      </c>
      <c r="AB456" s="3">
        <f t="shared" si="38"/>
        <v>12209.550000000001</v>
      </c>
      <c r="AC456" s="3">
        <f t="shared" si="39"/>
        <v>23132.398349999996</v>
      </c>
    </row>
    <row r="457" spans="1:29" x14ac:dyDescent="0.35">
      <c r="A457" s="3" t="s">
        <v>469</v>
      </c>
      <c r="B457" s="4">
        <v>45653</v>
      </c>
      <c r="C457" s="4">
        <v>45655</v>
      </c>
      <c r="D457" s="5">
        <v>2</v>
      </c>
      <c r="E457" s="3" t="s">
        <v>648</v>
      </c>
      <c r="F457" s="3" t="s">
        <v>653</v>
      </c>
      <c r="G457" s="3" t="s">
        <v>688</v>
      </c>
      <c r="H457" s="3" t="s">
        <v>706</v>
      </c>
      <c r="I457" s="3" t="s">
        <v>709</v>
      </c>
      <c r="J457" s="3" t="s">
        <v>712</v>
      </c>
      <c r="K457" s="3" t="s">
        <v>733</v>
      </c>
      <c r="L457" s="3" t="s">
        <v>1188</v>
      </c>
      <c r="M457" s="3">
        <v>1146.72</v>
      </c>
      <c r="N457" s="3">
        <v>2074.34</v>
      </c>
      <c r="O457" s="3">
        <v>0.111</v>
      </c>
      <c r="P457" s="3">
        <v>8</v>
      </c>
      <c r="Q457" s="3">
        <v>14752.706080000002</v>
      </c>
      <c r="R457" s="3">
        <f t="shared" si="35"/>
        <v>9173.76</v>
      </c>
      <c r="S457" s="3">
        <v>5578.9460800000015</v>
      </c>
      <c r="T457" s="3">
        <f t="shared" si="36"/>
        <v>0.37816425337472737</v>
      </c>
      <c r="U457" s="3" t="str">
        <f t="shared" si="37"/>
        <v>Dec-2024</v>
      </c>
      <c r="AB457" s="3">
        <f t="shared" si="38"/>
        <v>9173.76</v>
      </c>
      <c r="AC457" s="3">
        <f t="shared" si="39"/>
        <v>14752.706080000002</v>
      </c>
    </row>
    <row r="458" spans="1:29" x14ac:dyDescent="0.35">
      <c r="A458" s="3" t="s">
        <v>470</v>
      </c>
      <c r="B458" s="4">
        <v>45265</v>
      </c>
      <c r="C458" s="4">
        <v>45272</v>
      </c>
      <c r="D458" s="5">
        <v>7</v>
      </c>
      <c r="E458" s="3" t="s">
        <v>648</v>
      </c>
      <c r="F458" s="3" t="s">
        <v>655</v>
      </c>
      <c r="G458" s="3" t="s">
        <v>672</v>
      </c>
      <c r="H458" s="3" t="s">
        <v>701</v>
      </c>
      <c r="I458" s="3" t="s">
        <v>711</v>
      </c>
      <c r="J458" s="3" t="s">
        <v>721</v>
      </c>
      <c r="K458" s="3" t="s">
        <v>730</v>
      </c>
      <c r="L458" s="3" t="s">
        <v>1189</v>
      </c>
      <c r="M458" s="3">
        <v>307.43</v>
      </c>
      <c r="N458" s="3">
        <v>495.19</v>
      </c>
      <c r="O458" s="3">
        <v>0</v>
      </c>
      <c r="P458" s="3">
        <v>42</v>
      </c>
      <c r="Q458" s="3">
        <v>20797.98</v>
      </c>
      <c r="R458" s="3">
        <f t="shared" si="35"/>
        <v>12912.06</v>
      </c>
      <c r="S458" s="3">
        <v>7885.92</v>
      </c>
      <c r="T458" s="3">
        <f t="shared" si="36"/>
        <v>0.37916759223732305</v>
      </c>
      <c r="U458" s="3" t="str">
        <f t="shared" si="37"/>
        <v>Dec-2023</v>
      </c>
      <c r="AB458" s="3">
        <f t="shared" si="38"/>
        <v>12912.06</v>
      </c>
      <c r="AC458" s="3">
        <f t="shared" si="39"/>
        <v>20797.98</v>
      </c>
    </row>
    <row r="459" spans="1:29" x14ac:dyDescent="0.35">
      <c r="A459" s="3" t="s">
        <v>471</v>
      </c>
      <c r="B459" s="4">
        <v>45048</v>
      </c>
      <c r="C459" s="4">
        <v>45065</v>
      </c>
      <c r="D459" s="5">
        <v>17</v>
      </c>
      <c r="E459" s="3" t="s">
        <v>647</v>
      </c>
      <c r="F459" s="3" t="s">
        <v>659</v>
      </c>
      <c r="G459" s="3" t="s">
        <v>685</v>
      </c>
      <c r="H459" s="3" t="s">
        <v>703</v>
      </c>
      <c r="I459" s="3" t="s">
        <v>711</v>
      </c>
      <c r="J459" s="3" t="s">
        <v>713</v>
      </c>
      <c r="K459" s="3" t="s">
        <v>732</v>
      </c>
      <c r="L459" s="3" t="s">
        <v>1190</v>
      </c>
      <c r="M459" s="3">
        <v>714.28</v>
      </c>
      <c r="N459" s="3">
        <v>757.59</v>
      </c>
      <c r="O459" s="3">
        <v>0.13600000000000001</v>
      </c>
      <c r="P459" s="3">
        <v>12</v>
      </c>
      <c r="Q459" s="3">
        <v>7854.6931199999999</v>
      </c>
      <c r="R459" s="3">
        <f t="shared" si="35"/>
        <v>8571.36</v>
      </c>
      <c r="S459" s="3">
        <v>716.66688000000067</v>
      </c>
      <c r="T459" s="3">
        <f t="shared" si="36"/>
        <v>9.1240595787910383E-2</v>
      </c>
      <c r="U459" s="3" t="str">
        <f t="shared" si="37"/>
        <v>May-2023</v>
      </c>
      <c r="AB459" s="3">
        <f t="shared" si="38"/>
        <v>8571.36</v>
      </c>
      <c r="AC459" s="3">
        <f t="shared" si="39"/>
        <v>7854.6931199999999</v>
      </c>
    </row>
    <row r="460" spans="1:29" x14ac:dyDescent="0.35">
      <c r="A460" s="3" t="s">
        <v>472</v>
      </c>
      <c r="B460" s="4">
        <v>45260</v>
      </c>
      <c r="C460" s="4">
        <v>45270</v>
      </c>
      <c r="D460" s="5">
        <v>10</v>
      </c>
      <c r="E460" s="3" t="s">
        <v>649</v>
      </c>
      <c r="F460" s="3" t="s">
        <v>656</v>
      </c>
      <c r="G460" s="3" t="s">
        <v>684</v>
      </c>
      <c r="H460" s="3" t="s">
        <v>705</v>
      </c>
      <c r="I460" s="3" t="s">
        <v>711</v>
      </c>
      <c r="J460" s="3" t="s">
        <v>721</v>
      </c>
      <c r="K460" s="3" t="s">
        <v>731</v>
      </c>
      <c r="L460" s="3" t="s">
        <v>1191</v>
      </c>
      <c r="M460" s="3">
        <v>174.74</v>
      </c>
      <c r="N460" s="3">
        <v>415.96</v>
      </c>
      <c r="O460" s="3">
        <v>0.125</v>
      </c>
      <c r="P460" s="3">
        <v>21</v>
      </c>
      <c r="Q460" s="3">
        <v>7643.2649999999994</v>
      </c>
      <c r="R460" s="3">
        <f t="shared" si="35"/>
        <v>3669.54</v>
      </c>
      <c r="S460" s="3">
        <v>3973.7249999999995</v>
      </c>
      <c r="T460" s="3">
        <f t="shared" si="36"/>
        <v>0.51989889137691803</v>
      </c>
      <c r="U460" s="3" t="str">
        <f t="shared" si="37"/>
        <v>Nov-2023</v>
      </c>
      <c r="AB460" s="3">
        <f t="shared" si="38"/>
        <v>3669.54</v>
      </c>
      <c r="AC460" s="3">
        <f t="shared" si="39"/>
        <v>7643.2649999999994</v>
      </c>
    </row>
    <row r="461" spans="1:29" x14ac:dyDescent="0.35">
      <c r="A461" s="3" t="s">
        <v>473</v>
      </c>
      <c r="B461" s="4">
        <v>45417</v>
      </c>
      <c r="C461" s="4">
        <v>45430</v>
      </c>
      <c r="D461" s="5">
        <v>13</v>
      </c>
      <c r="E461" s="3" t="s">
        <v>649</v>
      </c>
      <c r="F461" s="3" t="s">
        <v>657</v>
      </c>
      <c r="G461" s="3" t="s">
        <v>673</v>
      </c>
      <c r="H461" s="3" t="s">
        <v>701</v>
      </c>
      <c r="I461" s="3" t="s">
        <v>709</v>
      </c>
      <c r="J461" s="3" t="s">
        <v>720</v>
      </c>
      <c r="K461" s="3" t="s">
        <v>727</v>
      </c>
      <c r="L461" s="3" t="s">
        <v>1192</v>
      </c>
      <c r="M461" s="3">
        <v>1264.04</v>
      </c>
      <c r="N461" s="3">
        <v>1870.89</v>
      </c>
      <c r="O461" s="3">
        <v>0</v>
      </c>
      <c r="P461" s="3">
        <v>13</v>
      </c>
      <c r="Q461" s="3">
        <v>24321.57</v>
      </c>
      <c r="R461" s="3">
        <f t="shared" si="35"/>
        <v>16432.52</v>
      </c>
      <c r="S461" s="3">
        <v>7889.0499999999993</v>
      </c>
      <c r="T461" s="3">
        <f t="shared" si="36"/>
        <v>0.32436433996653996</v>
      </c>
      <c r="U461" s="3" t="str">
        <f t="shared" si="37"/>
        <v>May-2024</v>
      </c>
      <c r="AB461" s="3">
        <f t="shared" si="38"/>
        <v>16432.52</v>
      </c>
      <c r="AC461" s="3">
        <f t="shared" si="39"/>
        <v>24321.57</v>
      </c>
    </row>
    <row r="462" spans="1:29" x14ac:dyDescent="0.35">
      <c r="A462" s="3" t="s">
        <v>474</v>
      </c>
      <c r="B462" s="4">
        <v>45116</v>
      </c>
      <c r="C462" s="4">
        <v>45126</v>
      </c>
      <c r="D462" s="5">
        <v>10</v>
      </c>
      <c r="E462" s="3" t="s">
        <v>647</v>
      </c>
      <c r="F462" s="3" t="s">
        <v>652</v>
      </c>
      <c r="G462" s="3" t="s">
        <v>689</v>
      </c>
      <c r="H462" s="3" t="s">
        <v>706</v>
      </c>
      <c r="I462" s="3" t="s">
        <v>710</v>
      </c>
      <c r="J462" s="3" t="s">
        <v>725</v>
      </c>
      <c r="K462" s="3" t="s">
        <v>727</v>
      </c>
      <c r="L462" s="3" t="s">
        <v>1193</v>
      </c>
      <c r="M462" s="3">
        <v>141.26</v>
      </c>
      <c r="N462" s="3">
        <v>206.88</v>
      </c>
      <c r="O462" s="3">
        <v>0.107</v>
      </c>
      <c r="P462" s="3">
        <v>9</v>
      </c>
      <c r="Q462" s="3">
        <v>1662.6945600000001</v>
      </c>
      <c r="R462" s="3">
        <f t="shared" si="35"/>
        <v>1271.3399999999999</v>
      </c>
      <c r="S462" s="3">
        <v>391.35456000000022</v>
      </c>
      <c r="T462" s="3">
        <f t="shared" si="36"/>
        <v>0.23537369365062469</v>
      </c>
      <c r="U462" s="3" t="str">
        <f t="shared" si="37"/>
        <v>Jul-2023</v>
      </c>
      <c r="AB462" s="3">
        <f t="shared" si="38"/>
        <v>1271.3399999999999</v>
      </c>
      <c r="AC462" s="3">
        <f t="shared" si="39"/>
        <v>1662.6945600000001</v>
      </c>
    </row>
    <row r="463" spans="1:29" x14ac:dyDescent="0.35">
      <c r="A463" s="3" t="s">
        <v>475</v>
      </c>
      <c r="B463" s="4">
        <v>45063</v>
      </c>
      <c r="C463" s="4">
        <v>45092</v>
      </c>
      <c r="D463" s="5">
        <v>29</v>
      </c>
      <c r="E463" s="3" t="s">
        <v>646</v>
      </c>
      <c r="F463" s="3" t="s">
        <v>661</v>
      </c>
      <c r="G463" s="3" t="s">
        <v>687</v>
      </c>
      <c r="H463" s="3" t="s">
        <v>706</v>
      </c>
      <c r="I463" s="3" t="s">
        <v>707</v>
      </c>
      <c r="J463" s="3" t="s">
        <v>723</v>
      </c>
      <c r="K463" s="3" t="s">
        <v>733</v>
      </c>
      <c r="L463" s="3" t="s">
        <v>1194</v>
      </c>
      <c r="M463" s="3">
        <v>40.89</v>
      </c>
      <c r="N463" s="3">
        <v>62.82</v>
      </c>
      <c r="O463" s="3">
        <v>0.129</v>
      </c>
      <c r="P463" s="3">
        <v>17</v>
      </c>
      <c r="Q463" s="3">
        <v>930.17574000000002</v>
      </c>
      <c r="R463" s="3">
        <f t="shared" si="35"/>
        <v>695.13</v>
      </c>
      <c r="S463" s="3">
        <v>235.04574000000002</v>
      </c>
      <c r="T463" s="3">
        <f t="shared" si="36"/>
        <v>0.25268960465470752</v>
      </c>
      <c r="U463" s="3" t="str">
        <f t="shared" si="37"/>
        <v>May-2023</v>
      </c>
      <c r="AB463" s="3">
        <f t="shared" si="38"/>
        <v>695.13</v>
      </c>
      <c r="AC463" s="3">
        <f t="shared" si="39"/>
        <v>930.17574000000002</v>
      </c>
    </row>
    <row r="464" spans="1:29" x14ac:dyDescent="0.35">
      <c r="A464" s="3" t="s">
        <v>476</v>
      </c>
      <c r="B464" s="4">
        <v>45358</v>
      </c>
      <c r="C464" s="4">
        <v>45385</v>
      </c>
      <c r="D464" s="5">
        <v>27</v>
      </c>
      <c r="E464" s="3" t="s">
        <v>649</v>
      </c>
      <c r="F464" s="3" t="s">
        <v>656</v>
      </c>
      <c r="G464" s="3" t="s">
        <v>698</v>
      </c>
      <c r="H464" s="3" t="s">
        <v>701</v>
      </c>
      <c r="I464" s="3" t="s">
        <v>711</v>
      </c>
      <c r="J464" s="3" t="s">
        <v>724</v>
      </c>
      <c r="K464" s="3" t="s">
        <v>728</v>
      </c>
      <c r="L464" s="3" t="s">
        <v>1195</v>
      </c>
      <c r="M464" s="3">
        <v>738.16</v>
      </c>
      <c r="N464" s="3">
        <v>956.49</v>
      </c>
      <c r="O464" s="3">
        <v>0.152</v>
      </c>
      <c r="P464" s="3">
        <v>5</v>
      </c>
      <c r="Q464" s="3">
        <v>4055.5175999999997</v>
      </c>
      <c r="R464" s="3">
        <f t="shared" si="35"/>
        <v>3690.7999999999997</v>
      </c>
      <c r="S464" s="3">
        <v>364.71759999999995</v>
      </c>
      <c r="T464" s="3">
        <f t="shared" si="36"/>
        <v>8.9931208780847108E-2</v>
      </c>
      <c r="U464" s="3" t="str">
        <f t="shared" si="37"/>
        <v>Mar-2024</v>
      </c>
      <c r="AB464" s="3">
        <f t="shared" si="38"/>
        <v>3690.7999999999997</v>
      </c>
      <c r="AC464" s="3">
        <f t="shared" si="39"/>
        <v>4055.5175999999997</v>
      </c>
    </row>
    <row r="465" spans="1:29" x14ac:dyDescent="0.35">
      <c r="A465" s="3" t="s">
        <v>477</v>
      </c>
      <c r="B465" s="4">
        <v>45757</v>
      </c>
      <c r="C465" s="4">
        <v>45766</v>
      </c>
      <c r="D465" s="5">
        <v>9</v>
      </c>
      <c r="E465" s="3" t="s">
        <v>646</v>
      </c>
      <c r="F465" s="3" t="s">
        <v>661</v>
      </c>
      <c r="G465" s="3" t="s">
        <v>687</v>
      </c>
      <c r="H465" s="3" t="s">
        <v>706</v>
      </c>
      <c r="I465" s="3" t="s">
        <v>1423</v>
      </c>
      <c r="J465" s="3" t="s">
        <v>715</v>
      </c>
      <c r="K465" s="3" t="s">
        <v>729</v>
      </c>
      <c r="L465" s="3" t="s">
        <v>1196</v>
      </c>
      <c r="M465" s="3">
        <v>113.74</v>
      </c>
      <c r="N465" s="3">
        <v>165.7</v>
      </c>
      <c r="O465" s="3">
        <v>0.124</v>
      </c>
      <c r="P465" s="3">
        <v>13</v>
      </c>
      <c r="Q465" s="3">
        <v>1886.9915999999998</v>
      </c>
      <c r="R465" s="3">
        <f t="shared" si="35"/>
        <v>1478.62</v>
      </c>
      <c r="S465" s="3">
        <v>408.37159999999994</v>
      </c>
      <c r="T465" s="3">
        <f t="shared" si="36"/>
        <v>0.21641410592394794</v>
      </c>
      <c r="U465" s="3" t="str">
        <f t="shared" si="37"/>
        <v>Apr-2025</v>
      </c>
      <c r="AB465" s="3">
        <f t="shared" si="38"/>
        <v>1478.62</v>
      </c>
      <c r="AC465" s="3">
        <f t="shared" si="39"/>
        <v>1886.9915999999998</v>
      </c>
    </row>
    <row r="466" spans="1:29" x14ac:dyDescent="0.35">
      <c r="A466" s="3" t="s">
        <v>478</v>
      </c>
      <c r="B466" s="4">
        <v>45865</v>
      </c>
      <c r="C466" s="4">
        <v>45884</v>
      </c>
      <c r="D466" s="5">
        <v>19</v>
      </c>
      <c r="E466" s="3" t="s">
        <v>647</v>
      </c>
      <c r="F466" s="3" t="s">
        <v>652</v>
      </c>
      <c r="G466" s="3" t="s">
        <v>689</v>
      </c>
      <c r="H466" s="3" t="s">
        <v>705</v>
      </c>
      <c r="I466" s="3" t="s">
        <v>709</v>
      </c>
      <c r="J466" s="3" t="s">
        <v>713</v>
      </c>
      <c r="K466" s="3" t="s">
        <v>727</v>
      </c>
      <c r="L466" s="3" t="s">
        <v>1197</v>
      </c>
      <c r="M466" s="3">
        <v>275.43</v>
      </c>
      <c r="N466" s="3">
        <v>608.36</v>
      </c>
      <c r="O466" s="3">
        <v>0.25700000000000001</v>
      </c>
      <c r="P466" s="3">
        <v>4</v>
      </c>
      <c r="Q466" s="3">
        <v>1808.04592</v>
      </c>
      <c r="R466" s="3">
        <f t="shared" si="35"/>
        <v>1101.72</v>
      </c>
      <c r="S466" s="3">
        <v>706.32592</v>
      </c>
      <c r="T466" s="3">
        <f t="shared" si="36"/>
        <v>0.39065706915231446</v>
      </c>
      <c r="U466" s="3" t="str">
        <f t="shared" si="37"/>
        <v>Jul-2025</v>
      </c>
      <c r="AB466" s="3">
        <f t="shared" si="38"/>
        <v>1101.72</v>
      </c>
      <c r="AC466" s="3">
        <f t="shared" si="39"/>
        <v>1946.7520000000002</v>
      </c>
    </row>
    <row r="467" spans="1:29" x14ac:dyDescent="0.35">
      <c r="A467" s="3" t="s">
        <v>479</v>
      </c>
      <c r="B467" s="4">
        <v>45618</v>
      </c>
      <c r="C467" s="4">
        <v>45641</v>
      </c>
      <c r="D467" s="5">
        <v>23</v>
      </c>
      <c r="E467" s="3" t="s">
        <v>646</v>
      </c>
      <c r="F467" s="3" t="s">
        <v>650</v>
      </c>
      <c r="G467" s="3" t="s">
        <v>675</v>
      </c>
      <c r="H467" s="3" t="s">
        <v>703</v>
      </c>
      <c r="I467" s="3" t="s">
        <v>710</v>
      </c>
      <c r="J467" s="3" t="s">
        <v>712</v>
      </c>
      <c r="K467" s="3" t="s">
        <v>727</v>
      </c>
      <c r="L467" s="3" t="s">
        <v>1198</v>
      </c>
      <c r="M467" s="3">
        <v>1335.76</v>
      </c>
      <c r="N467" s="3">
        <v>2665.91</v>
      </c>
      <c r="O467" s="3">
        <v>0.21099999999999999</v>
      </c>
      <c r="P467" s="3">
        <v>40</v>
      </c>
      <c r="Q467" s="3">
        <v>84136.119600000005</v>
      </c>
      <c r="R467" s="3">
        <f t="shared" si="35"/>
        <v>53430.400000000001</v>
      </c>
      <c r="S467" s="3">
        <v>30705.719600000004</v>
      </c>
      <c r="T467" s="3">
        <f t="shared" si="36"/>
        <v>0.36495288522909253</v>
      </c>
      <c r="U467" s="3" t="str">
        <f t="shared" si="37"/>
        <v>Nov-2024</v>
      </c>
      <c r="AB467" s="3">
        <f t="shared" si="38"/>
        <v>53430.400000000001</v>
      </c>
      <c r="AC467" s="3">
        <f t="shared" si="39"/>
        <v>85309.119999999995</v>
      </c>
    </row>
    <row r="468" spans="1:29" x14ac:dyDescent="0.35">
      <c r="A468" s="3" t="s">
        <v>480</v>
      </c>
      <c r="B468" s="4">
        <v>45466</v>
      </c>
      <c r="C468" s="4">
        <v>45471</v>
      </c>
      <c r="D468" s="5">
        <v>5</v>
      </c>
      <c r="E468" s="3" t="s">
        <v>646</v>
      </c>
      <c r="F468" s="3" t="s">
        <v>651</v>
      </c>
      <c r="G468" s="3" t="s">
        <v>663</v>
      </c>
      <c r="H468" s="3" t="s">
        <v>703</v>
      </c>
      <c r="I468" s="3" t="s">
        <v>711</v>
      </c>
      <c r="J468" s="3" t="s">
        <v>724</v>
      </c>
      <c r="K468" s="3" t="s">
        <v>733</v>
      </c>
      <c r="L468" s="3" t="s">
        <v>1199</v>
      </c>
      <c r="M468" s="3">
        <v>242.31</v>
      </c>
      <c r="N468" s="3">
        <v>587.95000000000005</v>
      </c>
      <c r="O468" s="3">
        <v>0.22900000000000001</v>
      </c>
      <c r="P468" s="3">
        <v>6</v>
      </c>
      <c r="Q468" s="3">
        <v>2719.8567000000003</v>
      </c>
      <c r="R468" s="3">
        <f t="shared" si="35"/>
        <v>1453.8600000000001</v>
      </c>
      <c r="S468" s="3">
        <v>1265.9967000000001</v>
      </c>
      <c r="T468" s="3">
        <f t="shared" si="36"/>
        <v>0.46546448568411714</v>
      </c>
      <c r="U468" s="3" t="str">
        <f t="shared" si="37"/>
        <v>Jun-2024</v>
      </c>
      <c r="AB468" s="3">
        <f t="shared" si="38"/>
        <v>1453.8600000000001</v>
      </c>
      <c r="AC468" s="3">
        <f t="shared" si="39"/>
        <v>2822.1600000000003</v>
      </c>
    </row>
    <row r="469" spans="1:29" x14ac:dyDescent="0.35">
      <c r="A469" s="3" t="s">
        <v>481</v>
      </c>
      <c r="B469" s="4">
        <v>45278</v>
      </c>
      <c r="C469" s="4">
        <v>45305</v>
      </c>
      <c r="D469" s="5">
        <v>27</v>
      </c>
      <c r="E469" s="3" t="s">
        <v>647</v>
      </c>
      <c r="F469" s="3" t="s">
        <v>654</v>
      </c>
      <c r="G469" s="3" t="s">
        <v>691</v>
      </c>
      <c r="H469" s="3" t="s">
        <v>704</v>
      </c>
      <c r="I469" s="3" t="s">
        <v>710</v>
      </c>
      <c r="J469" s="3" t="s">
        <v>726</v>
      </c>
      <c r="K469" s="3" t="s">
        <v>729</v>
      </c>
      <c r="L469" s="3" t="s">
        <v>1200</v>
      </c>
      <c r="M469" s="3">
        <v>1408.3</v>
      </c>
      <c r="N469" s="3">
        <v>2193.13</v>
      </c>
      <c r="O469" s="3">
        <v>7.0999999999999994E-2</v>
      </c>
      <c r="P469" s="3">
        <v>7</v>
      </c>
      <c r="Q469" s="3">
        <v>14261.92439</v>
      </c>
      <c r="R469" s="3">
        <f t="shared" si="35"/>
        <v>9858.1</v>
      </c>
      <c r="S469" s="3">
        <v>4403.8243899999998</v>
      </c>
      <c r="T469" s="3">
        <f t="shared" si="36"/>
        <v>0.30878191957656281</v>
      </c>
      <c r="U469" s="3" t="str">
        <f t="shared" si="37"/>
        <v>Dec-2023</v>
      </c>
      <c r="AB469" s="3">
        <f t="shared" si="38"/>
        <v>9858.1</v>
      </c>
      <c r="AC469" s="3">
        <f t="shared" si="39"/>
        <v>14261.92439</v>
      </c>
    </row>
    <row r="470" spans="1:29" x14ac:dyDescent="0.35">
      <c r="A470" s="3" t="s">
        <v>482</v>
      </c>
      <c r="B470" s="4">
        <v>45809</v>
      </c>
      <c r="C470" s="4">
        <v>45813</v>
      </c>
      <c r="D470" s="5">
        <v>4</v>
      </c>
      <c r="E470" s="3" t="s">
        <v>649</v>
      </c>
      <c r="F470" s="3" t="s">
        <v>656</v>
      </c>
      <c r="G470" s="3" t="s">
        <v>684</v>
      </c>
      <c r="H470" s="3" t="s">
        <v>706</v>
      </c>
      <c r="I470" s="3" t="s">
        <v>711</v>
      </c>
      <c r="J470" s="3" t="s">
        <v>724</v>
      </c>
      <c r="K470" s="3" t="s">
        <v>727</v>
      </c>
      <c r="L470" s="3" t="s">
        <v>1201</v>
      </c>
      <c r="M470" s="3">
        <v>1171.42</v>
      </c>
      <c r="N470" s="3">
        <v>2187.8000000000002</v>
      </c>
      <c r="O470" s="3">
        <v>0.23</v>
      </c>
      <c r="P470" s="3">
        <v>15</v>
      </c>
      <c r="Q470" s="3">
        <v>25269.09</v>
      </c>
      <c r="R470" s="3">
        <f t="shared" si="35"/>
        <v>17571.300000000003</v>
      </c>
      <c r="S470" s="3">
        <v>7697.7899999999972</v>
      </c>
      <c r="T470" s="3">
        <f t="shared" si="36"/>
        <v>0.30463265594447592</v>
      </c>
      <c r="U470" s="3" t="str">
        <f t="shared" si="37"/>
        <v>Jun-2025</v>
      </c>
      <c r="AB470" s="3">
        <f t="shared" si="38"/>
        <v>17571.300000000003</v>
      </c>
      <c r="AC470" s="3">
        <f t="shared" si="39"/>
        <v>26253.600000000002</v>
      </c>
    </row>
    <row r="471" spans="1:29" x14ac:dyDescent="0.35">
      <c r="A471" s="3" t="s">
        <v>483</v>
      </c>
      <c r="B471" s="4">
        <v>45739</v>
      </c>
      <c r="C471" s="4">
        <v>45749</v>
      </c>
      <c r="D471" s="5">
        <v>10</v>
      </c>
      <c r="E471" s="3" t="s">
        <v>649</v>
      </c>
      <c r="F471" s="3" t="s">
        <v>656</v>
      </c>
      <c r="G471" s="3" t="s">
        <v>671</v>
      </c>
      <c r="H471" s="3" t="s">
        <v>706</v>
      </c>
      <c r="I471" s="3" t="s">
        <v>708</v>
      </c>
      <c r="J471" s="3" t="s">
        <v>718</v>
      </c>
      <c r="K471" s="3" t="s">
        <v>728</v>
      </c>
      <c r="L471" s="3" t="s">
        <v>1202</v>
      </c>
      <c r="M471" s="3">
        <v>663.61</v>
      </c>
      <c r="N471" s="3">
        <v>1002.11</v>
      </c>
      <c r="O471" s="3">
        <v>4.5999999999999999E-2</v>
      </c>
      <c r="P471" s="3">
        <v>17</v>
      </c>
      <c r="Q471" s="3">
        <v>16252.219979999998</v>
      </c>
      <c r="R471" s="3">
        <f t="shared" si="35"/>
        <v>11281.37</v>
      </c>
      <c r="S471" s="3">
        <v>4970.8499799999972</v>
      </c>
      <c r="T471" s="3">
        <f t="shared" si="36"/>
        <v>0.30585667595670812</v>
      </c>
      <c r="U471" s="3" t="str">
        <f t="shared" si="37"/>
        <v>Mar-2025</v>
      </c>
      <c r="AB471" s="3">
        <f t="shared" si="38"/>
        <v>11281.37</v>
      </c>
      <c r="AC471" s="3">
        <f t="shared" si="39"/>
        <v>16252.219979999998</v>
      </c>
    </row>
    <row r="472" spans="1:29" x14ac:dyDescent="0.35">
      <c r="A472" s="3" t="s">
        <v>484</v>
      </c>
      <c r="B472" s="4">
        <v>45060</v>
      </c>
      <c r="C472" s="4">
        <v>45068</v>
      </c>
      <c r="D472" s="5">
        <v>8</v>
      </c>
      <c r="E472" s="3" t="s">
        <v>646</v>
      </c>
      <c r="F472" s="3" t="s">
        <v>650</v>
      </c>
      <c r="G472" s="3" t="s">
        <v>675</v>
      </c>
      <c r="H472" s="3" t="s">
        <v>705</v>
      </c>
      <c r="I472" s="3" t="s">
        <v>710</v>
      </c>
      <c r="J472" s="3" t="s">
        <v>721</v>
      </c>
      <c r="K472" s="3" t="s">
        <v>728</v>
      </c>
      <c r="L472" s="3" t="s">
        <v>1203</v>
      </c>
      <c r="M472" s="3">
        <v>432.01</v>
      </c>
      <c r="N472" s="3">
        <v>913.78</v>
      </c>
      <c r="O472" s="3">
        <v>4.9000000000000002E-2</v>
      </c>
      <c r="P472" s="3">
        <v>12</v>
      </c>
      <c r="Q472" s="3">
        <v>10428.057360000001</v>
      </c>
      <c r="R472" s="3">
        <f t="shared" si="35"/>
        <v>5184.12</v>
      </c>
      <c r="S472" s="3">
        <v>5243.9373600000008</v>
      </c>
      <c r="T472" s="3">
        <f t="shared" si="36"/>
        <v>0.50286809699711899</v>
      </c>
      <c r="U472" s="3" t="str">
        <f t="shared" si="37"/>
        <v>May-2023</v>
      </c>
      <c r="AB472" s="3">
        <f t="shared" si="38"/>
        <v>5184.12</v>
      </c>
      <c r="AC472" s="3">
        <f t="shared" si="39"/>
        <v>10428.057360000001</v>
      </c>
    </row>
    <row r="473" spans="1:29" x14ac:dyDescent="0.35">
      <c r="A473" s="3" t="s">
        <v>485</v>
      </c>
      <c r="B473" s="4">
        <v>45167</v>
      </c>
      <c r="C473" s="4">
        <v>45188</v>
      </c>
      <c r="D473" s="5">
        <v>21</v>
      </c>
      <c r="E473" s="3" t="s">
        <v>649</v>
      </c>
      <c r="F473" s="3" t="s">
        <v>657</v>
      </c>
      <c r="G473" s="3" t="s">
        <v>679</v>
      </c>
      <c r="H473" s="3" t="s">
        <v>705</v>
      </c>
      <c r="I473" s="3" t="s">
        <v>711</v>
      </c>
      <c r="J473" s="3" t="s">
        <v>717</v>
      </c>
      <c r="K473" s="3" t="s">
        <v>728</v>
      </c>
      <c r="L473" s="3" t="s">
        <v>1204</v>
      </c>
      <c r="M473" s="3">
        <v>784.46</v>
      </c>
      <c r="N473" s="3">
        <v>1843.51</v>
      </c>
      <c r="O473" s="3">
        <v>0.13800000000000001</v>
      </c>
      <c r="P473" s="3">
        <v>23</v>
      </c>
      <c r="Q473" s="3">
        <v>36549.429260000004</v>
      </c>
      <c r="R473" s="3">
        <f t="shared" si="35"/>
        <v>18042.580000000002</v>
      </c>
      <c r="S473" s="3">
        <v>18506.849260000003</v>
      </c>
      <c r="T473" s="3">
        <f t="shared" si="36"/>
        <v>0.50635125184441798</v>
      </c>
      <c r="U473" s="3" t="str">
        <f t="shared" si="37"/>
        <v>Aug-2023</v>
      </c>
      <c r="AB473" s="3">
        <f t="shared" si="38"/>
        <v>18042.580000000002</v>
      </c>
      <c r="AC473" s="3">
        <f t="shared" si="39"/>
        <v>36549.429260000004</v>
      </c>
    </row>
    <row r="474" spans="1:29" x14ac:dyDescent="0.35">
      <c r="A474" s="3" t="s">
        <v>486</v>
      </c>
      <c r="B474" s="4">
        <v>45841</v>
      </c>
      <c r="C474" s="4">
        <v>45861</v>
      </c>
      <c r="D474" s="5">
        <v>20</v>
      </c>
      <c r="E474" s="3" t="s">
        <v>647</v>
      </c>
      <c r="F474" s="3" t="s">
        <v>659</v>
      </c>
      <c r="G474" s="3" t="s">
        <v>699</v>
      </c>
      <c r="H474" s="3" t="s">
        <v>705</v>
      </c>
      <c r="I474" s="3" t="s">
        <v>708</v>
      </c>
      <c r="J474" s="3" t="s">
        <v>724</v>
      </c>
      <c r="K474" s="3" t="s">
        <v>727</v>
      </c>
      <c r="L474" s="3" t="s">
        <v>1205</v>
      </c>
      <c r="M474" s="3">
        <v>647.36</v>
      </c>
      <c r="N474" s="3">
        <v>1383.6</v>
      </c>
      <c r="O474" s="3">
        <v>7.3999999999999996E-2</v>
      </c>
      <c r="P474" s="3">
        <v>12</v>
      </c>
      <c r="Q474" s="3">
        <v>15374.563199999999</v>
      </c>
      <c r="R474" s="3">
        <f t="shared" si="35"/>
        <v>7768.32</v>
      </c>
      <c r="S474" s="3">
        <v>7606.243199999999</v>
      </c>
      <c r="T474" s="3">
        <f t="shared" si="36"/>
        <v>0.49472906000997802</v>
      </c>
      <c r="U474" s="3" t="str">
        <f t="shared" si="37"/>
        <v>Jul-2025</v>
      </c>
      <c r="AB474" s="3">
        <f t="shared" si="38"/>
        <v>7768.32</v>
      </c>
      <c r="AC474" s="3">
        <f t="shared" si="39"/>
        <v>15374.563199999999</v>
      </c>
    </row>
    <row r="475" spans="1:29" x14ac:dyDescent="0.35">
      <c r="A475" s="3" t="s">
        <v>487</v>
      </c>
      <c r="B475" s="4">
        <v>45328</v>
      </c>
      <c r="C475" s="4">
        <v>45350</v>
      </c>
      <c r="D475" s="5">
        <v>22</v>
      </c>
      <c r="E475" s="3" t="s">
        <v>646</v>
      </c>
      <c r="F475" s="3" t="s">
        <v>650</v>
      </c>
      <c r="G475" s="3" t="s">
        <v>662</v>
      </c>
      <c r="H475" s="3" t="s">
        <v>703</v>
      </c>
      <c r="I475" s="3" t="s">
        <v>708</v>
      </c>
      <c r="J475" s="3" t="s">
        <v>723</v>
      </c>
      <c r="K475" s="3" t="s">
        <v>732</v>
      </c>
      <c r="L475" s="3" t="s">
        <v>1206</v>
      </c>
      <c r="M475" s="3">
        <v>834.93</v>
      </c>
      <c r="N475" s="3">
        <v>1588.53</v>
      </c>
      <c r="O475" s="3">
        <v>0.126</v>
      </c>
      <c r="P475" s="3">
        <v>6</v>
      </c>
      <c r="Q475" s="3">
        <v>8330.2513199999994</v>
      </c>
      <c r="R475" s="3">
        <f t="shared" si="35"/>
        <v>5009.58</v>
      </c>
      <c r="S475" s="3">
        <v>3320.6713199999995</v>
      </c>
      <c r="T475" s="3">
        <f t="shared" si="36"/>
        <v>0.39862798761274343</v>
      </c>
      <c r="U475" s="3" t="str">
        <f t="shared" si="37"/>
        <v>Feb-2024</v>
      </c>
      <c r="AB475" s="3">
        <f t="shared" si="38"/>
        <v>5009.58</v>
      </c>
      <c r="AC475" s="3">
        <f t="shared" si="39"/>
        <v>8330.2513199999994</v>
      </c>
    </row>
    <row r="476" spans="1:29" x14ac:dyDescent="0.35">
      <c r="A476" s="3" t="s">
        <v>488</v>
      </c>
      <c r="B476" s="4">
        <v>45882</v>
      </c>
      <c r="C476" s="4">
        <v>45903</v>
      </c>
      <c r="D476" s="5">
        <v>21</v>
      </c>
      <c r="E476" s="3" t="s">
        <v>649</v>
      </c>
      <c r="F476" s="3" t="s">
        <v>657</v>
      </c>
      <c r="G476" s="3" t="s">
        <v>690</v>
      </c>
      <c r="H476" s="3" t="s">
        <v>702</v>
      </c>
      <c r="I476" s="3" t="s">
        <v>707</v>
      </c>
      <c r="J476" s="3" t="s">
        <v>714</v>
      </c>
      <c r="K476" s="3" t="s">
        <v>730</v>
      </c>
      <c r="L476" s="3" t="s">
        <v>1207</v>
      </c>
      <c r="M476" s="3">
        <v>603.47</v>
      </c>
      <c r="N476" s="3">
        <v>1344.05</v>
      </c>
      <c r="O476" s="3">
        <v>0.20499999999999999</v>
      </c>
      <c r="P476" s="3">
        <v>18</v>
      </c>
      <c r="Q476" s="3">
        <v>19233.355499999998</v>
      </c>
      <c r="R476" s="3">
        <f t="shared" si="35"/>
        <v>10862.460000000001</v>
      </c>
      <c r="S476" s="3">
        <v>8370.8954999999969</v>
      </c>
      <c r="T476" s="3">
        <f t="shared" si="36"/>
        <v>0.43522803392262976</v>
      </c>
      <c r="U476" s="3" t="str">
        <f t="shared" si="37"/>
        <v>Aug-2025</v>
      </c>
      <c r="AB476" s="3">
        <f t="shared" si="38"/>
        <v>10862.460000000001</v>
      </c>
      <c r="AC476" s="3">
        <f t="shared" si="39"/>
        <v>19354.32</v>
      </c>
    </row>
    <row r="477" spans="1:29" x14ac:dyDescent="0.35">
      <c r="A477" s="3" t="s">
        <v>489</v>
      </c>
      <c r="B477" s="4">
        <v>45069</v>
      </c>
      <c r="C477" s="4">
        <v>45071</v>
      </c>
      <c r="D477" s="5">
        <v>2</v>
      </c>
      <c r="E477" s="3" t="s">
        <v>648</v>
      </c>
      <c r="F477" s="3" t="s">
        <v>655</v>
      </c>
      <c r="G477" s="3" t="s">
        <v>692</v>
      </c>
      <c r="H477" s="3" t="s">
        <v>706</v>
      </c>
      <c r="I477" s="3" t="s">
        <v>707</v>
      </c>
      <c r="J477" s="3" t="s">
        <v>724</v>
      </c>
      <c r="K477" s="3" t="s">
        <v>728</v>
      </c>
      <c r="L477" s="3" t="s">
        <v>1208</v>
      </c>
      <c r="M477" s="3">
        <v>690.49</v>
      </c>
      <c r="N477" s="3">
        <v>1290.29</v>
      </c>
      <c r="O477" s="3">
        <v>4.2000000000000003E-2</v>
      </c>
      <c r="P477" s="3">
        <v>22</v>
      </c>
      <c r="Q477" s="3">
        <v>27194.152039999997</v>
      </c>
      <c r="R477" s="3">
        <f t="shared" si="35"/>
        <v>15190.78</v>
      </c>
      <c r="S477" s="3">
        <v>12003.372039999997</v>
      </c>
      <c r="T477" s="3">
        <f t="shared" si="36"/>
        <v>0.44139534199647718</v>
      </c>
      <c r="U477" s="3" t="str">
        <f t="shared" si="37"/>
        <v>May-2023</v>
      </c>
      <c r="AB477" s="3">
        <f t="shared" si="38"/>
        <v>15190.78</v>
      </c>
      <c r="AC477" s="3">
        <f t="shared" si="39"/>
        <v>27194.152039999997</v>
      </c>
    </row>
    <row r="478" spans="1:29" x14ac:dyDescent="0.35">
      <c r="A478" s="3" t="s">
        <v>490</v>
      </c>
      <c r="B478" s="4">
        <v>45422</v>
      </c>
      <c r="C478" s="4">
        <v>45428</v>
      </c>
      <c r="D478" s="5">
        <v>6</v>
      </c>
      <c r="E478" s="3" t="s">
        <v>649</v>
      </c>
      <c r="F478" s="3" t="s">
        <v>658</v>
      </c>
      <c r="G478" s="3" t="s">
        <v>674</v>
      </c>
      <c r="H478" s="3" t="s">
        <v>703</v>
      </c>
      <c r="I478" s="3" t="s">
        <v>711</v>
      </c>
      <c r="J478" s="3" t="s">
        <v>715</v>
      </c>
      <c r="K478" s="3" t="s">
        <v>731</v>
      </c>
      <c r="L478" s="3" t="s">
        <v>1209</v>
      </c>
      <c r="M478" s="3">
        <v>210.76</v>
      </c>
      <c r="N478" s="3">
        <v>221.58</v>
      </c>
      <c r="O478" s="3">
        <v>8.8999999999999996E-2</v>
      </c>
      <c r="P478" s="3">
        <v>5</v>
      </c>
      <c r="Q478" s="3">
        <v>1009.2969000000002</v>
      </c>
      <c r="R478" s="3">
        <f t="shared" si="35"/>
        <v>1053.8</v>
      </c>
      <c r="S478" s="3">
        <v>44.50309999999979</v>
      </c>
      <c r="T478" s="3">
        <f t="shared" si="36"/>
        <v>4.4093170205912434E-2</v>
      </c>
      <c r="U478" s="3" t="str">
        <f t="shared" si="37"/>
        <v>May-2024</v>
      </c>
      <c r="AB478" s="3">
        <f t="shared" si="38"/>
        <v>1053.8</v>
      </c>
      <c r="AC478" s="3">
        <f t="shared" si="39"/>
        <v>1009.2969000000002</v>
      </c>
    </row>
    <row r="479" spans="1:29" x14ac:dyDescent="0.35">
      <c r="A479" s="3" t="s">
        <v>491</v>
      </c>
      <c r="B479" s="4">
        <v>44999</v>
      </c>
      <c r="C479" s="4">
        <v>45003</v>
      </c>
      <c r="D479" s="5">
        <v>4</v>
      </c>
      <c r="E479" s="3" t="s">
        <v>649</v>
      </c>
      <c r="F479" s="3" t="s">
        <v>656</v>
      </c>
      <c r="G479" s="3" t="s">
        <v>698</v>
      </c>
      <c r="H479" s="3" t="s">
        <v>706</v>
      </c>
      <c r="I479" s="3" t="s">
        <v>711</v>
      </c>
      <c r="J479" s="3" t="s">
        <v>720</v>
      </c>
      <c r="K479" s="3" t="s">
        <v>727</v>
      </c>
      <c r="L479" s="3" t="s">
        <v>1210</v>
      </c>
      <c r="M479" s="3">
        <v>472.33</v>
      </c>
      <c r="N479" s="3">
        <v>360.34</v>
      </c>
      <c r="O479" s="3">
        <v>0.16500000000000001</v>
      </c>
      <c r="P479" s="3">
        <v>14</v>
      </c>
      <c r="Q479" s="3">
        <v>4212.3745999999992</v>
      </c>
      <c r="R479" s="3">
        <f t="shared" si="35"/>
        <v>6612.62</v>
      </c>
      <c r="S479" s="3">
        <v>2400.2454000000007</v>
      </c>
      <c r="T479" s="3">
        <f t="shared" si="36"/>
        <v>0.56980815523861561</v>
      </c>
      <c r="U479" s="3" t="str">
        <f t="shared" si="37"/>
        <v>Mar-2023</v>
      </c>
      <c r="AB479" s="3">
        <f t="shared" si="38"/>
        <v>6612.62</v>
      </c>
      <c r="AC479" s="3">
        <f t="shared" si="39"/>
        <v>4212.3745999999992</v>
      </c>
    </row>
    <row r="480" spans="1:29" x14ac:dyDescent="0.35">
      <c r="A480" s="3" t="s">
        <v>492</v>
      </c>
      <c r="B480" s="4">
        <v>45123</v>
      </c>
      <c r="C480" s="4">
        <v>45151</v>
      </c>
      <c r="D480" s="5">
        <v>28</v>
      </c>
      <c r="E480" s="3" t="s">
        <v>649</v>
      </c>
      <c r="F480" s="3" t="s">
        <v>658</v>
      </c>
      <c r="G480" s="3" t="s">
        <v>693</v>
      </c>
      <c r="H480" s="3" t="s">
        <v>703</v>
      </c>
      <c r="I480" s="3" t="s">
        <v>708</v>
      </c>
      <c r="J480" s="3" t="s">
        <v>713</v>
      </c>
      <c r="K480" s="3" t="s">
        <v>731</v>
      </c>
      <c r="L480" s="3" t="s">
        <v>1211</v>
      </c>
      <c r="M480" s="3">
        <v>1039.03</v>
      </c>
      <c r="N480" s="3">
        <v>2545.81</v>
      </c>
      <c r="O480" s="3">
        <v>0.216</v>
      </c>
      <c r="P480" s="3">
        <v>21</v>
      </c>
      <c r="Q480" s="3">
        <v>41914.215840000004</v>
      </c>
      <c r="R480" s="3">
        <f t="shared" si="35"/>
        <v>21819.63</v>
      </c>
      <c r="S480" s="3">
        <v>20094.585840000003</v>
      </c>
      <c r="T480" s="3">
        <f t="shared" si="36"/>
        <v>0.47942172929364774</v>
      </c>
      <c r="U480" s="3" t="str">
        <f t="shared" si="37"/>
        <v>Jul-2023</v>
      </c>
      <c r="AB480" s="3">
        <f t="shared" si="38"/>
        <v>21819.63</v>
      </c>
      <c r="AC480" s="3">
        <f t="shared" si="39"/>
        <v>42769.608000000007</v>
      </c>
    </row>
    <row r="481" spans="1:29" x14ac:dyDescent="0.35">
      <c r="A481" s="3" t="s">
        <v>493</v>
      </c>
      <c r="B481" s="4">
        <v>45032</v>
      </c>
      <c r="C481" s="4">
        <v>45035</v>
      </c>
      <c r="D481" s="5">
        <v>3</v>
      </c>
      <c r="E481" s="3" t="s">
        <v>649</v>
      </c>
      <c r="F481" s="3" t="s">
        <v>656</v>
      </c>
      <c r="G481" s="3" t="s">
        <v>684</v>
      </c>
      <c r="H481" s="3" t="s">
        <v>701</v>
      </c>
      <c r="I481" s="3" t="s">
        <v>711</v>
      </c>
      <c r="J481" s="3" t="s">
        <v>717</v>
      </c>
      <c r="K481" s="3" t="s">
        <v>733</v>
      </c>
      <c r="L481" s="3" t="s">
        <v>1212</v>
      </c>
      <c r="M481" s="3">
        <v>553.61</v>
      </c>
      <c r="N481" s="3">
        <v>699.47</v>
      </c>
      <c r="O481" s="3">
        <v>0.02</v>
      </c>
      <c r="P481" s="3">
        <v>33</v>
      </c>
      <c r="Q481" s="3">
        <v>22620.859800000002</v>
      </c>
      <c r="R481" s="3">
        <f t="shared" si="35"/>
        <v>18269.13</v>
      </c>
      <c r="S481" s="3">
        <v>4351.729800000001</v>
      </c>
      <c r="T481" s="3">
        <f t="shared" si="36"/>
        <v>0.19237685209472014</v>
      </c>
      <c r="U481" s="3" t="str">
        <f t="shared" si="37"/>
        <v>Apr-2023</v>
      </c>
      <c r="AB481" s="3">
        <f t="shared" si="38"/>
        <v>18269.13</v>
      </c>
      <c r="AC481" s="3">
        <f t="shared" si="39"/>
        <v>22620.859800000002</v>
      </c>
    </row>
    <row r="482" spans="1:29" x14ac:dyDescent="0.35">
      <c r="A482" s="3" t="s">
        <v>494</v>
      </c>
      <c r="B482" s="4">
        <v>45293</v>
      </c>
      <c r="C482" s="4">
        <v>45306</v>
      </c>
      <c r="D482" s="5">
        <v>13</v>
      </c>
      <c r="E482" s="3" t="s">
        <v>647</v>
      </c>
      <c r="F482" s="3" t="s">
        <v>652</v>
      </c>
      <c r="G482" s="3" t="s">
        <v>694</v>
      </c>
      <c r="H482" s="3" t="s">
        <v>705</v>
      </c>
      <c r="I482" s="3" t="s">
        <v>709</v>
      </c>
      <c r="J482" s="3" t="s">
        <v>715</v>
      </c>
      <c r="K482" s="3" t="s">
        <v>729</v>
      </c>
      <c r="L482" s="3" t="s">
        <v>1213</v>
      </c>
      <c r="M482" s="3">
        <v>1219.06</v>
      </c>
      <c r="N482" s="3">
        <v>2738.69</v>
      </c>
      <c r="O482" s="3">
        <v>7.5999999999999998E-2</v>
      </c>
      <c r="P482" s="3">
        <v>16</v>
      </c>
      <c r="Q482" s="3">
        <v>40488.792960000006</v>
      </c>
      <c r="R482" s="3">
        <f t="shared" si="35"/>
        <v>19504.96</v>
      </c>
      <c r="S482" s="3">
        <v>20983.832960000007</v>
      </c>
      <c r="T482" s="3">
        <f t="shared" si="36"/>
        <v>0.51826274447673737</v>
      </c>
      <c r="U482" s="3" t="str">
        <f t="shared" si="37"/>
        <v>Jan-2024</v>
      </c>
      <c r="AB482" s="3">
        <f t="shared" si="38"/>
        <v>19504.96</v>
      </c>
      <c r="AC482" s="3">
        <f t="shared" si="39"/>
        <v>40488.792960000006</v>
      </c>
    </row>
    <row r="483" spans="1:29" x14ac:dyDescent="0.35">
      <c r="A483" s="3" t="s">
        <v>495</v>
      </c>
      <c r="B483" s="4">
        <v>45538</v>
      </c>
      <c r="C483" s="4">
        <v>45542</v>
      </c>
      <c r="D483" s="5">
        <v>4</v>
      </c>
      <c r="E483" s="3" t="s">
        <v>647</v>
      </c>
      <c r="F483" s="3" t="s">
        <v>652</v>
      </c>
      <c r="G483" s="3" t="s">
        <v>689</v>
      </c>
      <c r="H483" s="3" t="s">
        <v>705</v>
      </c>
      <c r="I483" s="3" t="s">
        <v>710</v>
      </c>
      <c r="J483" s="3" t="s">
        <v>725</v>
      </c>
      <c r="K483" s="3" t="s">
        <v>728</v>
      </c>
      <c r="L483" s="3" t="s">
        <v>1214</v>
      </c>
      <c r="M483" s="3">
        <v>43.23</v>
      </c>
      <c r="N483" s="3">
        <v>94.78</v>
      </c>
      <c r="O483" s="3">
        <v>9.0999999999999998E-2</v>
      </c>
      <c r="P483" s="3">
        <v>55</v>
      </c>
      <c r="Q483" s="3">
        <v>4738.5261</v>
      </c>
      <c r="R483" s="3">
        <f t="shared" si="35"/>
        <v>2377.6499999999996</v>
      </c>
      <c r="S483" s="3">
        <v>2360.8761000000004</v>
      </c>
      <c r="T483" s="3">
        <f t="shared" si="36"/>
        <v>0.49823005090127082</v>
      </c>
      <c r="U483" s="3" t="str">
        <f t="shared" si="37"/>
        <v>Sep-2024</v>
      </c>
      <c r="AB483" s="3">
        <f t="shared" si="38"/>
        <v>2377.6499999999996</v>
      </c>
      <c r="AC483" s="3">
        <f t="shared" si="39"/>
        <v>4738.5261</v>
      </c>
    </row>
    <row r="484" spans="1:29" x14ac:dyDescent="0.35">
      <c r="A484" s="3" t="s">
        <v>496</v>
      </c>
      <c r="B484" s="4">
        <v>45899</v>
      </c>
      <c r="C484" s="4">
        <v>45903</v>
      </c>
      <c r="D484" s="5">
        <v>4</v>
      </c>
      <c r="E484" s="3" t="s">
        <v>649</v>
      </c>
      <c r="F484" s="3" t="s">
        <v>657</v>
      </c>
      <c r="G484" s="3" t="s">
        <v>673</v>
      </c>
      <c r="H484" s="3" t="s">
        <v>705</v>
      </c>
      <c r="I484" s="3" t="s">
        <v>709</v>
      </c>
      <c r="J484" s="3" t="s">
        <v>713</v>
      </c>
      <c r="K484" s="3" t="s">
        <v>731</v>
      </c>
      <c r="L484" s="3" t="s">
        <v>1215</v>
      </c>
      <c r="M484" s="3">
        <v>1286.56</v>
      </c>
      <c r="N484" s="3">
        <v>2777.35</v>
      </c>
      <c r="O484" s="3">
        <v>0.13200000000000001</v>
      </c>
      <c r="P484" s="3">
        <v>15</v>
      </c>
      <c r="Q484" s="3">
        <v>36161.097000000002</v>
      </c>
      <c r="R484" s="3">
        <f t="shared" si="35"/>
        <v>19298.399999999998</v>
      </c>
      <c r="S484" s="3">
        <v>16862.697000000004</v>
      </c>
      <c r="T484" s="3">
        <f t="shared" si="36"/>
        <v>0.46632150014696744</v>
      </c>
      <c r="U484" s="3" t="str">
        <f t="shared" si="37"/>
        <v>Aug-2025</v>
      </c>
      <c r="AB484" s="3">
        <f t="shared" si="38"/>
        <v>19298.399999999998</v>
      </c>
      <c r="AC484" s="3">
        <f t="shared" si="39"/>
        <v>36161.097000000002</v>
      </c>
    </row>
    <row r="485" spans="1:29" x14ac:dyDescent="0.35">
      <c r="A485" s="3" t="s">
        <v>497</v>
      </c>
      <c r="B485" s="4">
        <v>45775</v>
      </c>
      <c r="C485" s="4">
        <v>45796</v>
      </c>
      <c r="D485" s="5">
        <v>21</v>
      </c>
      <c r="E485" s="3" t="s">
        <v>649</v>
      </c>
      <c r="F485" s="3" t="s">
        <v>656</v>
      </c>
      <c r="G485" s="3" t="s">
        <v>671</v>
      </c>
      <c r="H485" s="3" t="s">
        <v>701</v>
      </c>
      <c r="I485" s="3" t="s">
        <v>710</v>
      </c>
      <c r="J485" s="3" t="s">
        <v>717</v>
      </c>
      <c r="K485" s="3" t="s">
        <v>730</v>
      </c>
      <c r="L485" s="3" t="s">
        <v>1216</v>
      </c>
      <c r="M485" s="3">
        <v>350.76</v>
      </c>
      <c r="N485" s="3">
        <v>492.18</v>
      </c>
      <c r="O485" s="3">
        <v>5.2999999999999999E-2</v>
      </c>
      <c r="P485" s="3">
        <v>11</v>
      </c>
      <c r="Q485" s="3">
        <v>5127.0390600000001</v>
      </c>
      <c r="R485" s="3">
        <f t="shared" si="35"/>
        <v>3858.3599999999997</v>
      </c>
      <c r="S485" s="3">
        <v>1268.6790600000004</v>
      </c>
      <c r="T485" s="3">
        <f t="shared" si="36"/>
        <v>0.24744868239798437</v>
      </c>
      <c r="U485" s="3" t="str">
        <f t="shared" si="37"/>
        <v>Apr-2025</v>
      </c>
      <c r="AB485" s="3">
        <f t="shared" si="38"/>
        <v>3858.3599999999997</v>
      </c>
      <c r="AC485" s="3">
        <f t="shared" si="39"/>
        <v>5127.0390600000001</v>
      </c>
    </row>
    <row r="486" spans="1:29" x14ac:dyDescent="0.35">
      <c r="A486" s="3" t="s">
        <v>498</v>
      </c>
      <c r="B486" s="4">
        <v>45148</v>
      </c>
      <c r="C486" s="4">
        <v>45153</v>
      </c>
      <c r="D486" s="5">
        <v>5</v>
      </c>
      <c r="E486" s="3" t="s">
        <v>648</v>
      </c>
      <c r="F486" s="3" t="s">
        <v>655</v>
      </c>
      <c r="G486" s="3" t="s">
        <v>670</v>
      </c>
      <c r="H486" s="3" t="s">
        <v>702</v>
      </c>
      <c r="I486" s="3" t="s">
        <v>711</v>
      </c>
      <c r="J486" s="3" t="s">
        <v>715</v>
      </c>
      <c r="K486" s="3" t="s">
        <v>729</v>
      </c>
      <c r="L486" s="3" t="s">
        <v>1217</v>
      </c>
      <c r="M486" s="3">
        <v>1307.52</v>
      </c>
      <c r="N486" s="3">
        <v>1921.65</v>
      </c>
      <c r="O486" s="3">
        <v>0.123</v>
      </c>
      <c r="P486" s="3">
        <v>13</v>
      </c>
      <c r="Q486" s="3">
        <v>21908.731650000002</v>
      </c>
      <c r="R486" s="3">
        <f t="shared" si="35"/>
        <v>16997.759999999998</v>
      </c>
      <c r="S486" s="3">
        <v>4910.9716500000031</v>
      </c>
      <c r="T486" s="3">
        <f t="shared" si="36"/>
        <v>0.22415590863289445</v>
      </c>
      <c r="U486" s="3" t="str">
        <f t="shared" si="37"/>
        <v>Aug-2023</v>
      </c>
      <c r="AB486" s="3">
        <f t="shared" si="38"/>
        <v>16997.759999999998</v>
      </c>
      <c r="AC486" s="3">
        <f t="shared" si="39"/>
        <v>21908.731650000002</v>
      </c>
    </row>
    <row r="487" spans="1:29" x14ac:dyDescent="0.35">
      <c r="A487" s="3" t="s">
        <v>499</v>
      </c>
      <c r="B487" s="4">
        <v>45634</v>
      </c>
      <c r="C487" s="4">
        <v>45634</v>
      </c>
      <c r="D487" s="5">
        <v>0</v>
      </c>
      <c r="E487" s="3" t="s">
        <v>649</v>
      </c>
      <c r="F487" s="3" t="s">
        <v>657</v>
      </c>
      <c r="G487" s="3" t="s">
        <v>679</v>
      </c>
      <c r="H487" s="3" t="s">
        <v>706</v>
      </c>
      <c r="I487" s="3" t="s">
        <v>707</v>
      </c>
      <c r="J487" s="3" t="s">
        <v>722</v>
      </c>
      <c r="K487" s="3" t="s">
        <v>727</v>
      </c>
      <c r="L487" s="3" t="s">
        <v>1218</v>
      </c>
      <c r="M487" s="3">
        <v>257.44</v>
      </c>
      <c r="N487" s="3">
        <v>290.33</v>
      </c>
      <c r="O487" s="3">
        <v>9.1999999999999998E-2</v>
      </c>
      <c r="P487" s="3">
        <v>23</v>
      </c>
      <c r="Q487" s="3">
        <v>6063.2517199999993</v>
      </c>
      <c r="R487" s="3">
        <f t="shared" si="35"/>
        <v>5921.12</v>
      </c>
      <c r="S487" s="3">
        <v>142.1317199999994</v>
      </c>
      <c r="T487" s="3">
        <f t="shared" si="36"/>
        <v>2.3441500792581216E-2</v>
      </c>
      <c r="U487" s="3" t="str">
        <f t="shared" si="37"/>
        <v>Dec-2024</v>
      </c>
      <c r="AB487" s="3">
        <f t="shared" si="38"/>
        <v>5921.12</v>
      </c>
      <c r="AC487" s="3">
        <f t="shared" si="39"/>
        <v>6063.2517199999993</v>
      </c>
    </row>
    <row r="488" spans="1:29" x14ac:dyDescent="0.35">
      <c r="A488" s="3" t="s">
        <v>500</v>
      </c>
      <c r="B488" s="4">
        <v>45224</v>
      </c>
      <c r="C488" s="4">
        <v>45254</v>
      </c>
      <c r="D488" s="5">
        <v>30</v>
      </c>
      <c r="E488" s="3" t="s">
        <v>649</v>
      </c>
      <c r="F488" s="3" t="s">
        <v>657</v>
      </c>
      <c r="G488" s="3" t="s">
        <v>690</v>
      </c>
      <c r="H488" s="3" t="s">
        <v>706</v>
      </c>
      <c r="I488" s="3" t="s">
        <v>710</v>
      </c>
      <c r="J488" s="3" t="s">
        <v>712</v>
      </c>
      <c r="K488" s="3" t="s">
        <v>730</v>
      </c>
      <c r="L488" s="3" t="s">
        <v>1219</v>
      </c>
      <c r="M488" s="3">
        <v>287.85000000000002</v>
      </c>
      <c r="N488" s="3">
        <v>602.91999999999996</v>
      </c>
      <c r="O488" s="3">
        <v>0.222</v>
      </c>
      <c r="P488" s="3">
        <v>11</v>
      </c>
      <c r="Q488" s="3">
        <v>5159.7893599999998</v>
      </c>
      <c r="R488" s="3">
        <f t="shared" si="35"/>
        <v>3166.3500000000004</v>
      </c>
      <c r="S488" s="3">
        <v>1993.4393599999994</v>
      </c>
      <c r="T488" s="3">
        <f t="shared" si="36"/>
        <v>0.38634122847216373</v>
      </c>
      <c r="U488" s="3" t="str">
        <f t="shared" si="37"/>
        <v>Oct-2023</v>
      </c>
      <c r="AB488" s="3">
        <f t="shared" si="38"/>
        <v>3166.3500000000004</v>
      </c>
      <c r="AC488" s="3">
        <f t="shared" si="39"/>
        <v>5305.6959999999999</v>
      </c>
    </row>
    <row r="489" spans="1:29" x14ac:dyDescent="0.35">
      <c r="A489" s="3" t="s">
        <v>501</v>
      </c>
      <c r="B489" s="4">
        <v>45613</v>
      </c>
      <c r="C489" s="4">
        <v>45624</v>
      </c>
      <c r="D489" s="5">
        <v>11</v>
      </c>
      <c r="E489" s="3" t="s">
        <v>648</v>
      </c>
      <c r="F489" s="3" t="s">
        <v>653</v>
      </c>
      <c r="G489" s="3" t="s">
        <v>1422</v>
      </c>
      <c r="H489" s="3" t="s">
        <v>704</v>
      </c>
      <c r="I489" s="3" t="s">
        <v>710</v>
      </c>
      <c r="J489" s="3" t="s">
        <v>720</v>
      </c>
      <c r="K489" s="3" t="s">
        <v>728</v>
      </c>
      <c r="L489" s="3" t="s">
        <v>1220</v>
      </c>
      <c r="M489" s="3">
        <v>1008.16</v>
      </c>
      <c r="N489" s="3">
        <v>2077.5</v>
      </c>
      <c r="O489" s="3">
        <v>7.3999999999999996E-2</v>
      </c>
      <c r="P489" s="3">
        <v>15</v>
      </c>
      <c r="Q489" s="3">
        <v>28856.475000000002</v>
      </c>
      <c r="R489" s="3">
        <f t="shared" si="35"/>
        <v>15122.4</v>
      </c>
      <c r="S489" s="3">
        <v>13734.075000000003</v>
      </c>
      <c r="T489" s="3">
        <f t="shared" si="36"/>
        <v>0.47594430712691005</v>
      </c>
      <c r="U489" s="3" t="str">
        <f t="shared" si="37"/>
        <v>Nov-2024</v>
      </c>
      <c r="AB489" s="3">
        <f t="shared" si="38"/>
        <v>15122.4</v>
      </c>
      <c r="AC489" s="3">
        <f t="shared" si="39"/>
        <v>28856.475000000002</v>
      </c>
    </row>
    <row r="490" spans="1:29" x14ac:dyDescent="0.35">
      <c r="A490" s="3" t="s">
        <v>502</v>
      </c>
      <c r="B490" s="4">
        <v>45424</v>
      </c>
      <c r="C490" s="4">
        <v>45436</v>
      </c>
      <c r="D490" s="5">
        <v>12</v>
      </c>
      <c r="E490" s="3" t="s">
        <v>649</v>
      </c>
      <c r="F490" s="3" t="s">
        <v>658</v>
      </c>
      <c r="G490" s="3" t="s">
        <v>693</v>
      </c>
      <c r="H490" s="3" t="s">
        <v>702</v>
      </c>
      <c r="I490" s="3" t="s">
        <v>709</v>
      </c>
      <c r="J490" s="3" t="s">
        <v>723</v>
      </c>
      <c r="K490" s="3" t="s">
        <v>728</v>
      </c>
      <c r="L490" s="3" t="s">
        <v>1221</v>
      </c>
      <c r="M490" s="3">
        <v>111.02</v>
      </c>
      <c r="N490" s="3">
        <v>172.88</v>
      </c>
      <c r="O490" s="3">
        <v>0.19700000000000001</v>
      </c>
      <c r="P490" s="3">
        <v>29</v>
      </c>
      <c r="Q490" s="3">
        <v>4025.8565599999993</v>
      </c>
      <c r="R490" s="3">
        <f t="shared" si="35"/>
        <v>3219.58</v>
      </c>
      <c r="S490" s="3">
        <v>806.27655999999934</v>
      </c>
      <c r="T490" s="3">
        <f t="shared" si="36"/>
        <v>0.20027453735212053</v>
      </c>
      <c r="U490" s="3" t="str">
        <f t="shared" si="37"/>
        <v>May-2024</v>
      </c>
      <c r="AB490" s="3">
        <f t="shared" si="38"/>
        <v>3219.58</v>
      </c>
      <c r="AC490" s="3">
        <f t="shared" si="39"/>
        <v>4025.8565599999993</v>
      </c>
    </row>
    <row r="491" spans="1:29" x14ac:dyDescent="0.35">
      <c r="A491" s="3" t="s">
        <v>503</v>
      </c>
      <c r="B491" s="4">
        <v>45792</v>
      </c>
      <c r="C491" s="4">
        <v>45813</v>
      </c>
      <c r="D491" s="5">
        <v>21</v>
      </c>
      <c r="E491" s="3" t="s">
        <v>647</v>
      </c>
      <c r="F491" s="3" t="s">
        <v>652</v>
      </c>
      <c r="G491" s="3" t="s">
        <v>666</v>
      </c>
      <c r="H491" s="3" t="s">
        <v>706</v>
      </c>
      <c r="I491" s="3" t="s">
        <v>711</v>
      </c>
      <c r="J491" s="3" t="s">
        <v>722</v>
      </c>
      <c r="K491" s="3" t="s">
        <v>730</v>
      </c>
      <c r="L491" s="3" t="s">
        <v>1222</v>
      </c>
      <c r="M491" s="3">
        <v>1466.5</v>
      </c>
      <c r="N491" s="3">
        <v>2778.74</v>
      </c>
      <c r="O491" s="3">
        <v>0.13500000000000001</v>
      </c>
      <c r="P491" s="3">
        <v>4</v>
      </c>
      <c r="Q491" s="3">
        <v>9614.4403999999995</v>
      </c>
      <c r="R491" s="3">
        <f t="shared" si="35"/>
        <v>5866</v>
      </c>
      <c r="S491" s="3">
        <v>3748.4403999999995</v>
      </c>
      <c r="T491" s="3">
        <f t="shared" si="36"/>
        <v>0.38987608680792279</v>
      </c>
      <c r="U491" s="3" t="str">
        <f t="shared" si="37"/>
        <v>May-2025</v>
      </c>
      <c r="AB491" s="3">
        <f t="shared" si="38"/>
        <v>5866</v>
      </c>
      <c r="AC491" s="3">
        <f t="shared" si="39"/>
        <v>9614.4403999999995</v>
      </c>
    </row>
    <row r="492" spans="1:29" x14ac:dyDescent="0.35">
      <c r="A492" s="3" t="s">
        <v>504</v>
      </c>
      <c r="B492" s="4">
        <v>45403</v>
      </c>
      <c r="C492" s="4">
        <v>45431</v>
      </c>
      <c r="D492" s="5">
        <v>28</v>
      </c>
      <c r="E492" s="3" t="s">
        <v>646</v>
      </c>
      <c r="F492" s="3" t="s">
        <v>651</v>
      </c>
      <c r="G492" s="3" t="s">
        <v>665</v>
      </c>
      <c r="H492" s="3" t="s">
        <v>701</v>
      </c>
      <c r="I492" s="3" t="s">
        <v>710</v>
      </c>
      <c r="J492" s="3" t="s">
        <v>720</v>
      </c>
      <c r="K492" s="3" t="s">
        <v>733</v>
      </c>
      <c r="L492" s="3" t="s">
        <v>1223</v>
      </c>
      <c r="M492" s="3">
        <v>187.22</v>
      </c>
      <c r="N492" s="3">
        <v>309.47000000000003</v>
      </c>
      <c r="O492" s="3">
        <v>0</v>
      </c>
      <c r="P492" s="3">
        <v>5</v>
      </c>
      <c r="Q492" s="3">
        <v>1547.3500000000001</v>
      </c>
      <c r="R492" s="3">
        <f t="shared" si="35"/>
        <v>936.1</v>
      </c>
      <c r="S492" s="3">
        <v>611.25000000000011</v>
      </c>
      <c r="T492" s="3">
        <f t="shared" si="36"/>
        <v>0.39503021294471197</v>
      </c>
      <c r="U492" s="3" t="str">
        <f t="shared" si="37"/>
        <v>Apr-2024</v>
      </c>
      <c r="AB492" s="3">
        <f t="shared" si="38"/>
        <v>936.1</v>
      </c>
      <c r="AC492" s="3">
        <f t="shared" si="39"/>
        <v>1547.3500000000001</v>
      </c>
    </row>
    <row r="493" spans="1:29" x14ac:dyDescent="0.35">
      <c r="A493" s="3" t="s">
        <v>505</v>
      </c>
      <c r="B493" s="4">
        <v>45523</v>
      </c>
      <c r="C493" s="4">
        <v>45542</v>
      </c>
      <c r="D493" s="5">
        <v>19</v>
      </c>
      <c r="E493" s="3" t="s">
        <v>649</v>
      </c>
      <c r="F493" s="3" t="s">
        <v>657</v>
      </c>
      <c r="G493" s="3" t="s">
        <v>679</v>
      </c>
      <c r="H493" s="3" t="s">
        <v>701</v>
      </c>
      <c r="I493" s="3" t="s">
        <v>711</v>
      </c>
      <c r="J493" s="3" t="s">
        <v>713</v>
      </c>
      <c r="K493" s="3" t="s">
        <v>727</v>
      </c>
      <c r="L493" s="3" t="s">
        <v>1224</v>
      </c>
      <c r="M493" s="3">
        <v>297.58999999999997</v>
      </c>
      <c r="N493" s="3">
        <v>666.41</v>
      </c>
      <c r="O493" s="3">
        <v>0</v>
      </c>
      <c r="P493" s="3">
        <v>10</v>
      </c>
      <c r="Q493" s="3">
        <v>6664.0999999999995</v>
      </c>
      <c r="R493" s="3">
        <f t="shared" si="35"/>
        <v>2975.8999999999996</v>
      </c>
      <c r="S493" s="3">
        <v>3688.2</v>
      </c>
      <c r="T493" s="3">
        <f t="shared" si="36"/>
        <v>0.55344307558409989</v>
      </c>
      <c r="U493" s="3" t="str">
        <f t="shared" si="37"/>
        <v>Aug-2024</v>
      </c>
      <c r="AB493" s="3">
        <f t="shared" si="38"/>
        <v>2975.8999999999996</v>
      </c>
      <c r="AC493" s="3">
        <f t="shared" si="39"/>
        <v>6664.0999999999995</v>
      </c>
    </row>
    <row r="494" spans="1:29" x14ac:dyDescent="0.35">
      <c r="A494" s="3" t="s">
        <v>506</v>
      </c>
      <c r="B494" s="4">
        <v>45861</v>
      </c>
      <c r="C494" s="4">
        <v>45888</v>
      </c>
      <c r="D494" s="5">
        <v>27</v>
      </c>
      <c r="E494" s="3" t="s">
        <v>647</v>
      </c>
      <c r="F494" s="3" t="s">
        <v>652</v>
      </c>
      <c r="G494" s="3" t="s">
        <v>694</v>
      </c>
      <c r="H494" s="3" t="s">
        <v>704</v>
      </c>
      <c r="I494" s="3" t="s">
        <v>709</v>
      </c>
      <c r="J494" s="3" t="s">
        <v>717</v>
      </c>
      <c r="K494" s="3" t="s">
        <v>733</v>
      </c>
      <c r="L494" s="3" t="s">
        <v>1225</v>
      </c>
      <c r="M494" s="3">
        <v>896.09</v>
      </c>
      <c r="N494" s="3">
        <v>744.27</v>
      </c>
      <c r="O494" s="3">
        <v>8.3000000000000004E-2</v>
      </c>
      <c r="P494" s="3">
        <v>11</v>
      </c>
      <c r="Q494" s="3">
        <v>7507.4514899999995</v>
      </c>
      <c r="R494" s="3">
        <f t="shared" si="35"/>
        <v>9856.99</v>
      </c>
      <c r="S494" s="3">
        <v>2349.5385100000003</v>
      </c>
      <c r="T494" s="3">
        <f t="shared" si="36"/>
        <v>0.31296086469950679</v>
      </c>
      <c r="U494" s="3" t="str">
        <f t="shared" si="37"/>
        <v>Jul-2025</v>
      </c>
      <c r="AB494" s="3">
        <f t="shared" si="38"/>
        <v>9856.99</v>
      </c>
      <c r="AC494" s="3">
        <f t="shared" si="39"/>
        <v>7507.4514899999995</v>
      </c>
    </row>
    <row r="495" spans="1:29" x14ac:dyDescent="0.35">
      <c r="A495" s="3" t="s">
        <v>507</v>
      </c>
      <c r="B495" s="4">
        <v>45352</v>
      </c>
      <c r="C495" s="4">
        <v>45351</v>
      </c>
      <c r="D495" s="5">
        <v>1</v>
      </c>
      <c r="E495" s="3" t="s">
        <v>648</v>
      </c>
      <c r="F495" s="3" t="s">
        <v>655</v>
      </c>
      <c r="G495" s="3" t="s">
        <v>670</v>
      </c>
      <c r="H495" s="3" t="s">
        <v>703</v>
      </c>
      <c r="I495" s="3" t="s">
        <v>711</v>
      </c>
      <c r="J495" s="3" t="s">
        <v>714</v>
      </c>
      <c r="K495" s="3" t="s">
        <v>730</v>
      </c>
      <c r="L495" s="3" t="s">
        <v>1226</v>
      </c>
      <c r="M495" s="3">
        <v>5.34</v>
      </c>
      <c r="N495" s="3">
        <v>12.69</v>
      </c>
      <c r="O495" s="3">
        <v>0.13200000000000001</v>
      </c>
      <c r="P495" s="3">
        <v>10</v>
      </c>
      <c r="Q495" s="3">
        <v>110.14919999999999</v>
      </c>
      <c r="R495" s="3">
        <f t="shared" si="35"/>
        <v>53.4</v>
      </c>
      <c r="S495" s="3">
        <v>56.749199999999995</v>
      </c>
      <c r="T495" s="3">
        <f t="shared" si="36"/>
        <v>0.51520301554618642</v>
      </c>
      <c r="U495" s="3" t="str">
        <f t="shared" si="37"/>
        <v>Mar-2024</v>
      </c>
      <c r="AB495" s="3">
        <f t="shared" si="38"/>
        <v>53.4</v>
      </c>
      <c r="AC495" s="3">
        <f t="shared" si="39"/>
        <v>110.14919999999999</v>
      </c>
    </row>
    <row r="496" spans="1:29" x14ac:dyDescent="0.35">
      <c r="A496" s="3" t="s">
        <v>508</v>
      </c>
      <c r="B496" s="4">
        <v>45439</v>
      </c>
      <c r="C496" s="4">
        <v>45460</v>
      </c>
      <c r="D496" s="5">
        <v>21</v>
      </c>
      <c r="E496" s="3" t="s">
        <v>647</v>
      </c>
      <c r="F496" s="3" t="s">
        <v>654</v>
      </c>
      <c r="G496" s="3" t="s">
        <v>680</v>
      </c>
      <c r="H496" s="3" t="s">
        <v>705</v>
      </c>
      <c r="I496" s="3" t="s">
        <v>708</v>
      </c>
      <c r="J496" s="3" t="s">
        <v>722</v>
      </c>
      <c r="K496" s="3" t="s">
        <v>733</v>
      </c>
      <c r="L496" s="3" t="s">
        <v>1227</v>
      </c>
      <c r="M496" s="3">
        <v>465.02</v>
      </c>
      <c r="N496" s="3">
        <v>651.55999999999995</v>
      </c>
      <c r="O496" s="3">
        <v>4.2000000000000003E-2</v>
      </c>
      <c r="P496" s="3">
        <v>19</v>
      </c>
      <c r="Q496" s="3">
        <v>11859.695119999998</v>
      </c>
      <c r="R496" s="3">
        <f t="shared" si="35"/>
        <v>8835.3799999999992</v>
      </c>
      <c r="S496" s="3">
        <v>3024.3151199999993</v>
      </c>
      <c r="T496" s="3">
        <f t="shared" si="36"/>
        <v>0.25500783025187918</v>
      </c>
      <c r="U496" s="3" t="str">
        <f t="shared" si="37"/>
        <v>May-2024</v>
      </c>
      <c r="AB496" s="3">
        <f t="shared" si="38"/>
        <v>8835.3799999999992</v>
      </c>
      <c r="AC496" s="3">
        <f t="shared" si="39"/>
        <v>11859.695119999998</v>
      </c>
    </row>
    <row r="497" spans="1:29" x14ac:dyDescent="0.35">
      <c r="A497" s="3" t="s">
        <v>509</v>
      </c>
      <c r="B497" s="4">
        <v>45508</v>
      </c>
      <c r="C497" s="4">
        <v>45521</v>
      </c>
      <c r="D497" s="5">
        <v>13</v>
      </c>
      <c r="E497" s="3" t="s">
        <v>648</v>
      </c>
      <c r="F497" s="3" t="s">
        <v>660</v>
      </c>
      <c r="G497" s="3" t="s">
        <v>697</v>
      </c>
      <c r="H497" s="3" t="s">
        <v>704</v>
      </c>
      <c r="I497" s="3" t="s">
        <v>707</v>
      </c>
      <c r="J497" s="3" t="s">
        <v>726</v>
      </c>
      <c r="K497" s="3" t="s">
        <v>732</v>
      </c>
      <c r="L497" s="3" t="s">
        <v>1228</v>
      </c>
      <c r="M497" s="3">
        <v>352.79</v>
      </c>
      <c r="N497" s="3">
        <v>754.22</v>
      </c>
      <c r="O497" s="3">
        <v>0.113</v>
      </c>
      <c r="P497" s="3">
        <v>7</v>
      </c>
      <c r="Q497" s="3">
        <v>4682.9519799999998</v>
      </c>
      <c r="R497" s="3">
        <f t="shared" si="35"/>
        <v>2469.5300000000002</v>
      </c>
      <c r="S497" s="3">
        <v>2213.4219799999996</v>
      </c>
      <c r="T497" s="3">
        <f t="shared" si="36"/>
        <v>0.47265528014233443</v>
      </c>
      <c r="U497" s="3" t="str">
        <f t="shared" si="37"/>
        <v>Aug-2024</v>
      </c>
      <c r="AB497" s="3">
        <f t="shared" si="38"/>
        <v>2469.5300000000002</v>
      </c>
      <c r="AC497" s="3">
        <f t="shared" si="39"/>
        <v>4682.9519799999998</v>
      </c>
    </row>
    <row r="498" spans="1:29" x14ac:dyDescent="0.35">
      <c r="A498" s="3" t="s">
        <v>510</v>
      </c>
      <c r="B498" s="4">
        <v>45097</v>
      </c>
      <c r="C498" s="4">
        <v>45111</v>
      </c>
      <c r="D498" s="5">
        <v>14</v>
      </c>
      <c r="E498" s="3" t="s">
        <v>648</v>
      </c>
      <c r="F498" s="3" t="s">
        <v>655</v>
      </c>
      <c r="G498" s="3" t="s">
        <v>672</v>
      </c>
      <c r="H498" s="3" t="s">
        <v>703</v>
      </c>
      <c r="I498" s="3" t="s">
        <v>711</v>
      </c>
      <c r="J498" s="3" t="s">
        <v>712</v>
      </c>
      <c r="K498" s="3" t="s">
        <v>729</v>
      </c>
      <c r="L498" s="3" t="s">
        <v>1229</v>
      </c>
      <c r="M498" s="3">
        <v>1292.8599999999999</v>
      </c>
      <c r="N498" s="3">
        <v>2981.01</v>
      </c>
      <c r="O498" s="3">
        <v>0.14199999999999999</v>
      </c>
      <c r="P498" s="3">
        <v>12</v>
      </c>
      <c r="Q498" s="3">
        <v>30692.47896</v>
      </c>
      <c r="R498" s="3">
        <f t="shared" si="35"/>
        <v>15514.32</v>
      </c>
      <c r="S498" s="3">
        <v>15178.158960000001</v>
      </c>
      <c r="T498" s="3">
        <f t="shared" si="36"/>
        <v>0.49452372288927687</v>
      </c>
      <c r="U498" s="3" t="str">
        <f t="shared" si="37"/>
        <v>Jun-2023</v>
      </c>
      <c r="AB498" s="3">
        <f t="shared" si="38"/>
        <v>15514.32</v>
      </c>
      <c r="AC498" s="3">
        <f t="shared" si="39"/>
        <v>30692.47896</v>
      </c>
    </row>
    <row r="499" spans="1:29" x14ac:dyDescent="0.35">
      <c r="A499" s="3" t="s">
        <v>511</v>
      </c>
      <c r="B499" s="4">
        <v>45544</v>
      </c>
      <c r="C499" s="4">
        <v>45548</v>
      </c>
      <c r="D499" s="5">
        <v>4</v>
      </c>
      <c r="E499" s="3" t="s">
        <v>649</v>
      </c>
      <c r="F499" s="3" t="s">
        <v>658</v>
      </c>
      <c r="G499" s="3" t="s">
        <v>683</v>
      </c>
      <c r="H499" s="3" t="s">
        <v>704</v>
      </c>
      <c r="I499" s="3" t="s">
        <v>709</v>
      </c>
      <c r="J499" s="3" t="s">
        <v>721</v>
      </c>
      <c r="K499" s="3" t="s">
        <v>729</v>
      </c>
      <c r="L499" s="3" t="s">
        <v>1230</v>
      </c>
      <c r="M499" s="3">
        <v>1133.08</v>
      </c>
      <c r="N499" s="3">
        <v>976.17</v>
      </c>
      <c r="O499" s="3">
        <v>4.2000000000000003E-2</v>
      </c>
      <c r="P499" s="3">
        <v>27</v>
      </c>
      <c r="Q499" s="3">
        <v>25249.613219999999</v>
      </c>
      <c r="R499" s="3">
        <f t="shared" si="35"/>
        <v>30593.159999999996</v>
      </c>
      <c r="S499" s="3">
        <v>5343.5467799999969</v>
      </c>
      <c r="T499" s="3">
        <f t="shared" si="36"/>
        <v>0.21162885678452373</v>
      </c>
      <c r="U499" s="3" t="str">
        <f t="shared" si="37"/>
        <v>Sep-2024</v>
      </c>
      <c r="AB499" s="3">
        <f t="shared" si="38"/>
        <v>30593.159999999996</v>
      </c>
      <c r="AC499" s="3">
        <f t="shared" si="39"/>
        <v>25249.613219999999</v>
      </c>
    </row>
    <row r="500" spans="1:29" x14ac:dyDescent="0.35">
      <c r="A500" s="3" t="s">
        <v>512</v>
      </c>
      <c r="B500" s="4">
        <v>45224</v>
      </c>
      <c r="C500" s="4">
        <v>45227</v>
      </c>
      <c r="D500" s="5">
        <v>3</v>
      </c>
      <c r="E500" s="3" t="s">
        <v>648</v>
      </c>
      <c r="F500" s="3" t="s">
        <v>655</v>
      </c>
      <c r="G500" s="3" t="s">
        <v>672</v>
      </c>
      <c r="H500" s="3" t="s">
        <v>701</v>
      </c>
      <c r="I500" s="3" t="s">
        <v>710</v>
      </c>
      <c r="J500" s="3" t="s">
        <v>716</v>
      </c>
      <c r="K500" s="3" t="s">
        <v>733</v>
      </c>
      <c r="L500" s="3" t="s">
        <v>1231</v>
      </c>
      <c r="M500" s="3">
        <v>509.31</v>
      </c>
      <c r="N500" s="3">
        <v>1145.9000000000001</v>
      </c>
      <c r="O500" s="3">
        <v>5.7000000000000002E-2</v>
      </c>
      <c r="P500" s="3">
        <v>8</v>
      </c>
      <c r="Q500" s="3">
        <v>8644.6696000000011</v>
      </c>
      <c r="R500" s="3">
        <f t="shared" si="35"/>
        <v>4074.48</v>
      </c>
      <c r="S500" s="3">
        <v>4570.1896000000015</v>
      </c>
      <c r="T500" s="3">
        <f t="shared" si="36"/>
        <v>0.52867140231709964</v>
      </c>
      <c r="U500" s="3" t="str">
        <f t="shared" si="37"/>
        <v>Oct-2023</v>
      </c>
      <c r="AB500" s="3">
        <f t="shared" si="38"/>
        <v>4074.48</v>
      </c>
      <c r="AC500" s="3">
        <f t="shared" si="39"/>
        <v>8644.6696000000011</v>
      </c>
    </row>
    <row r="501" spans="1:29" x14ac:dyDescent="0.35">
      <c r="A501" s="3" t="s">
        <v>513</v>
      </c>
      <c r="B501" s="4">
        <v>45908</v>
      </c>
      <c r="C501" s="4">
        <v>45935</v>
      </c>
      <c r="D501" s="5">
        <v>27</v>
      </c>
      <c r="E501" s="3" t="s">
        <v>648</v>
      </c>
      <c r="F501" s="3" t="s">
        <v>655</v>
      </c>
      <c r="G501" s="3" t="s">
        <v>692</v>
      </c>
      <c r="H501" s="3" t="s">
        <v>702</v>
      </c>
      <c r="I501" s="3" t="s">
        <v>708</v>
      </c>
      <c r="J501" s="3" t="s">
        <v>712</v>
      </c>
      <c r="K501" s="3" t="s">
        <v>732</v>
      </c>
      <c r="L501" s="3" t="s">
        <v>1232</v>
      </c>
      <c r="M501" s="3">
        <v>660.78</v>
      </c>
      <c r="N501" s="3">
        <v>1630.39</v>
      </c>
      <c r="O501" s="3">
        <v>0.218</v>
      </c>
      <c r="P501" s="3">
        <v>13</v>
      </c>
      <c r="Q501" s="3">
        <v>16574.544740000001</v>
      </c>
      <c r="R501" s="3">
        <f t="shared" si="35"/>
        <v>8590.14</v>
      </c>
      <c r="S501" s="3">
        <v>7984.4047400000018</v>
      </c>
      <c r="T501" s="3">
        <f t="shared" si="36"/>
        <v>0.48172694123724097</v>
      </c>
      <c r="U501" s="3" t="str">
        <f t="shared" si="37"/>
        <v>Sep-2025</v>
      </c>
      <c r="AB501" s="3">
        <f t="shared" si="38"/>
        <v>8590.14</v>
      </c>
      <c r="AC501" s="3">
        <f t="shared" si="39"/>
        <v>16956.056</v>
      </c>
    </row>
    <row r="502" spans="1:29" x14ac:dyDescent="0.35">
      <c r="A502" s="3" t="s">
        <v>514</v>
      </c>
      <c r="B502" s="4">
        <v>45048</v>
      </c>
      <c r="C502" s="4">
        <v>45062</v>
      </c>
      <c r="D502" s="5">
        <v>14</v>
      </c>
      <c r="E502" s="3" t="s">
        <v>647</v>
      </c>
      <c r="F502" s="3" t="s">
        <v>654</v>
      </c>
      <c r="G502" s="3" t="s">
        <v>668</v>
      </c>
      <c r="H502" s="3" t="s">
        <v>703</v>
      </c>
      <c r="I502" s="3" t="s">
        <v>707</v>
      </c>
      <c r="J502" s="3" t="s">
        <v>716</v>
      </c>
      <c r="K502" s="3" t="s">
        <v>732</v>
      </c>
      <c r="L502" s="3" t="s">
        <v>1233</v>
      </c>
      <c r="M502" s="3">
        <v>475.37</v>
      </c>
      <c r="N502" s="3">
        <v>963.73</v>
      </c>
      <c r="O502" s="3">
        <v>4.1000000000000002E-2</v>
      </c>
      <c r="P502" s="3">
        <v>22</v>
      </c>
      <c r="Q502" s="3">
        <v>20332.775539999999</v>
      </c>
      <c r="R502" s="3">
        <f t="shared" si="35"/>
        <v>10458.14</v>
      </c>
      <c r="S502" s="3">
        <v>9874.6355399999993</v>
      </c>
      <c r="T502" s="3">
        <f t="shared" si="36"/>
        <v>0.48565113604750881</v>
      </c>
      <c r="U502" s="3" t="str">
        <f t="shared" si="37"/>
        <v>May-2023</v>
      </c>
      <c r="AB502" s="3">
        <f t="shared" si="38"/>
        <v>10458.14</v>
      </c>
      <c r="AC502" s="3">
        <f t="shared" si="39"/>
        <v>20332.775539999999</v>
      </c>
    </row>
    <row r="503" spans="1:29" x14ac:dyDescent="0.35">
      <c r="A503" s="3" t="s">
        <v>515</v>
      </c>
      <c r="B503" s="4">
        <v>45408</v>
      </c>
      <c r="C503" s="4">
        <v>45406</v>
      </c>
      <c r="D503" s="5">
        <v>2</v>
      </c>
      <c r="E503" s="3" t="s">
        <v>649</v>
      </c>
      <c r="F503" s="3" t="s">
        <v>658</v>
      </c>
      <c r="G503" s="3" t="s">
        <v>683</v>
      </c>
      <c r="H503" s="3" t="s">
        <v>703</v>
      </c>
      <c r="I503" s="3" t="s">
        <v>710</v>
      </c>
      <c r="J503" s="3" t="s">
        <v>725</v>
      </c>
      <c r="K503" s="3" t="s">
        <v>730</v>
      </c>
      <c r="L503" s="3" t="s">
        <v>1234</v>
      </c>
      <c r="M503" s="3">
        <v>1232.77</v>
      </c>
      <c r="N503" s="3">
        <v>891.73</v>
      </c>
      <c r="O503" s="3">
        <v>0.16700000000000001</v>
      </c>
      <c r="P503" s="3">
        <v>10</v>
      </c>
      <c r="Q503" s="3">
        <v>7428.1108999999988</v>
      </c>
      <c r="R503" s="3">
        <f t="shared" si="35"/>
        <v>12327.7</v>
      </c>
      <c r="S503" s="3">
        <v>4899.589100000002</v>
      </c>
      <c r="T503" s="3">
        <f t="shared" si="36"/>
        <v>0.65960096260813805</v>
      </c>
      <c r="U503" s="3" t="str">
        <f t="shared" si="37"/>
        <v>Apr-2024</v>
      </c>
      <c r="AB503" s="3">
        <f t="shared" si="38"/>
        <v>12327.7</v>
      </c>
      <c r="AC503" s="3">
        <f t="shared" si="39"/>
        <v>7428.1108999999988</v>
      </c>
    </row>
    <row r="504" spans="1:29" x14ac:dyDescent="0.35">
      <c r="A504" s="3" t="s">
        <v>516</v>
      </c>
      <c r="B504" s="4">
        <v>44980</v>
      </c>
      <c r="C504" s="4">
        <v>45003</v>
      </c>
      <c r="D504" s="5">
        <v>23</v>
      </c>
      <c r="E504" s="3" t="s">
        <v>647</v>
      </c>
      <c r="F504" s="3" t="s">
        <v>659</v>
      </c>
      <c r="G504" s="3" t="s">
        <v>699</v>
      </c>
      <c r="H504" s="3" t="s">
        <v>702</v>
      </c>
      <c r="I504" s="3" t="s">
        <v>710</v>
      </c>
      <c r="J504" s="3" t="s">
        <v>723</v>
      </c>
      <c r="K504" s="3" t="s">
        <v>728</v>
      </c>
      <c r="L504" s="3" t="s">
        <v>1235</v>
      </c>
      <c r="M504" s="3">
        <v>770.11</v>
      </c>
      <c r="N504" s="3">
        <v>1667.82</v>
      </c>
      <c r="O504" s="3">
        <v>6.9000000000000006E-2</v>
      </c>
      <c r="P504" s="3">
        <v>7</v>
      </c>
      <c r="Q504" s="3">
        <v>10869.182940000001</v>
      </c>
      <c r="R504" s="3">
        <f t="shared" si="35"/>
        <v>5390.77</v>
      </c>
      <c r="S504" s="3">
        <v>5478.4129400000002</v>
      </c>
      <c r="T504" s="3">
        <f t="shared" si="36"/>
        <v>0.50403171703355287</v>
      </c>
      <c r="U504" s="3" t="str">
        <f t="shared" si="37"/>
        <v>Feb-2023</v>
      </c>
      <c r="AB504" s="3">
        <f t="shared" si="38"/>
        <v>5390.77</v>
      </c>
      <c r="AC504" s="3">
        <f t="shared" si="39"/>
        <v>10869.182940000001</v>
      </c>
    </row>
    <row r="505" spans="1:29" x14ac:dyDescent="0.35">
      <c r="A505" s="3" t="s">
        <v>517</v>
      </c>
      <c r="B505" s="4">
        <v>45740</v>
      </c>
      <c r="C505" s="4">
        <v>45741</v>
      </c>
      <c r="D505" s="5">
        <v>1</v>
      </c>
      <c r="E505" s="3" t="s">
        <v>647</v>
      </c>
      <c r="F505" s="3" t="s">
        <v>659</v>
      </c>
      <c r="G505" s="3" t="s">
        <v>699</v>
      </c>
      <c r="H505" s="3" t="s">
        <v>703</v>
      </c>
      <c r="I505" s="3" t="s">
        <v>708</v>
      </c>
      <c r="J505" s="3" t="s">
        <v>715</v>
      </c>
      <c r="K505" s="3" t="s">
        <v>729</v>
      </c>
      <c r="L505" s="3" t="s">
        <v>1236</v>
      </c>
      <c r="M505" s="3">
        <v>1133.03</v>
      </c>
      <c r="N505" s="3">
        <v>1921.51</v>
      </c>
      <c r="O505" s="3">
        <v>0.10100000000000001</v>
      </c>
      <c r="P505" s="3">
        <v>5</v>
      </c>
      <c r="Q505" s="3">
        <v>8637.1874499999994</v>
      </c>
      <c r="R505" s="3">
        <f t="shared" si="35"/>
        <v>5665.15</v>
      </c>
      <c r="S505" s="3">
        <v>2972.0374499999998</v>
      </c>
      <c r="T505" s="3">
        <f t="shared" si="36"/>
        <v>0.3440978289755654</v>
      </c>
      <c r="U505" s="3" t="str">
        <f t="shared" si="37"/>
        <v>Mar-2025</v>
      </c>
      <c r="AB505" s="3">
        <f t="shared" si="38"/>
        <v>5665.15</v>
      </c>
      <c r="AC505" s="3">
        <f t="shared" si="39"/>
        <v>8637.1874499999994</v>
      </c>
    </row>
    <row r="506" spans="1:29" x14ac:dyDescent="0.35">
      <c r="A506" s="3" t="s">
        <v>518</v>
      </c>
      <c r="B506" s="4">
        <v>45726</v>
      </c>
      <c r="C506" s="4">
        <v>45743</v>
      </c>
      <c r="D506" s="5">
        <v>17</v>
      </c>
      <c r="E506" s="3" t="s">
        <v>648</v>
      </c>
      <c r="F506" s="3" t="s">
        <v>655</v>
      </c>
      <c r="G506" s="3" t="s">
        <v>692</v>
      </c>
      <c r="H506" s="3" t="s">
        <v>706</v>
      </c>
      <c r="I506" s="3" t="s">
        <v>711</v>
      </c>
      <c r="J506" s="3" t="s">
        <v>721</v>
      </c>
      <c r="K506" s="3" t="s">
        <v>729</v>
      </c>
      <c r="L506" s="3" t="s">
        <v>1237</v>
      </c>
      <c r="M506" s="3">
        <v>996.73</v>
      </c>
      <c r="N506" s="3">
        <v>1217.43</v>
      </c>
      <c r="O506" s="3">
        <v>7.0000000000000007E-2</v>
      </c>
      <c r="P506" s="3">
        <v>9</v>
      </c>
      <c r="Q506" s="3">
        <v>10189.8891</v>
      </c>
      <c r="R506" s="3">
        <f t="shared" si="35"/>
        <v>8970.57</v>
      </c>
      <c r="S506" s="3">
        <v>1219.3191000000006</v>
      </c>
      <c r="T506" s="3">
        <f t="shared" si="36"/>
        <v>0.11965970267527255</v>
      </c>
      <c r="U506" s="3" t="str">
        <f t="shared" si="37"/>
        <v>Mar-2025</v>
      </c>
      <c r="AB506" s="3">
        <f t="shared" si="38"/>
        <v>8970.57</v>
      </c>
      <c r="AC506" s="3">
        <f t="shared" si="39"/>
        <v>10189.8891</v>
      </c>
    </row>
    <row r="507" spans="1:29" x14ac:dyDescent="0.35">
      <c r="A507" s="3" t="s">
        <v>519</v>
      </c>
      <c r="B507" s="4">
        <v>45387</v>
      </c>
      <c r="C507" s="4">
        <v>45391</v>
      </c>
      <c r="D507" s="5">
        <v>4</v>
      </c>
      <c r="E507" s="3" t="s">
        <v>646</v>
      </c>
      <c r="F507" s="3" t="s">
        <v>651</v>
      </c>
      <c r="G507" s="3" t="s">
        <v>665</v>
      </c>
      <c r="H507" s="3" t="s">
        <v>703</v>
      </c>
      <c r="I507" s="3" t="s">
        <v>711</v>
      </c>
      <c r="J507" s="3" t="s">
        <v>723</v>
      </c>
      <c r="K507" s="3" t="s">
        <v>727</v>
      </c>
      <c r="L507" s="3" t="s">
        <v>1238</v>
      </c>
      <c r="M507" s="3">
        <v>395.07</v>
      </c>
      <c r="N507" s="3">
        <v>970.27</v>
      </c>
      <c r="O507" s="3">
        <v>0.123</v>
      </c>
      <c r="P507" s="3">
        <v>38</v>
      </c>
      <c r="Q507" s="3">
        <v>32335.21802</v>
      </c>
      <c r="R507" s="3">
        <f t="shared" si="35"/>
        <v>15012.66</v>
      </c>
      <c r="S507" s="3">
        <v>17322.55802</v>
      </c>
      <c r="T507" s="3">
        <f t="shared" si="36"/>
        <v>0.53571799049833657</v>
      </c>
      <c r="U507" s="3" t="str">
        <f t="shared" si="37"/>
        <v>Apr-2024</v>
      </c>
      <c r="AB507" s="3">
        <f t="shared" si="38"/>
        <v>15012.66</v>
      </c>
      <c r="AC507" s="3">
        <f t="shared" si="39"/>
        <v>32335.21802</v>
      </c>
    </row>
    <row r="508" spans="1:29" x14ac:dyDescent="0.35">
      <c r="A508" s="3" t="s">
        <v>520</v>
      </c>
      <c r="B508" s="4">
        <v>45774</v>
      </c>
      <c r="C508" s="4">
        <v>45794</v>
      </c>
      <c r="D508" s="5">
        <v>20</v>
      </c>
      <c r="E508" s="3" t="s">
        <v>648</v>
      </c>
      <c r="F508" s="3" t="s">
        <v>660</v>
      </c>
      <c r="G508" s="3" t="s">
        <v>697</v>
      </c>
      <c r="H508" s="3" t="s">
        <v>701</v>
      </c>
      <c r="I508" s="3" t="s">
        <v>711</v>
      </c>
      <c r="J508" s="3" t="s">
        <v>725</v>
      </c>
      <c r="K508" s="3" t="s">
        <v>730</v>
      </c>
      <c r="L508" s="3" t="s">
        <v>1239</v>
      </c>
      <c r="M508" s="3">
        <v>932.26</v>
      </c>
      <c r="N508" s="3">
        <v>1624.67</v>
      </c>
      <c r="O508" s="3">
        <v>0.23499999999999999</v>
      </c>
      <c r="P508" s="3">
        <v>28</v>
      </c>
      <c r="Q508" s="3">
        <v>34800.431400000001</v>
      </c>
      <c r="R508" s="3">
        <f t="shared" si="35"/>
        <v>26103.279999999999</v>
      </c>
      <c r="S508" s="3">
        <v>8697.1514000000025</v>
      </c>
      <c r="T508" s="3">
        <f t="shared" si="36"/>
        <v>0.24991504559337163</v>
      </c>
      <c r="U508" s="3" t="str">
        <f t="shared" si="37"/>
        <v>Apr-2025</v>
      </c>
      <c r="AB508" s="3">
        <f t="shared" si="38"/>
        <v>26103.279999999999</v>
      </c>
      <c r="AC508" s="3">
        <f t="shared" si="39"/>
        <v>36392.608</v>
      </c>
    </row>
    <row r="509" spans="1:29" x14ac:dyDescent="0.35">
      <c r="A509" s="3" t="s">
        <v>521</v>
      </c>
      <c r="B509" s="4">
        <v>45589</v>
      </c>
      <c r="C509" s="4">
        <v>45593</v>
      </c>
      <c r="D509" s="5">
        <v>4</v>
      </c>
      <c r="E509" s="3" t="s">
        <v>647</v>
      </c>
      <c r="F509" s="3" t="s">
        <v>659</v>
      </c>
      <c r="G509" s="3" t="s">
        <v>685</v>
      </c>
      <c r="H509" s="3" t="s">
        <v>705</v>
      </c>
      <c r="I509" s="3" t="s">
        <v>710</v>
      </c>
      <c r="J509" s="3" t="s">
        <v>714</v>
      </c>
      <c r="K509" s="3" t="s">
        <v>729</v>
      </c>
      <c r="L509" s="3" t="s">
        <v>1240</v>
      </c>
      <c r="M509" s="3">
        <v>1331.77</v>
      </c>
      <c r="N509" s="3">
        <v>2606.11</v>
      </c>
      <c r="O509" s="3">
        <v>0.02</v>
      </c>
      <c r="P509" s="3">
        <v>6</v>
      </c>
      <c r="Q509" s="3">
        <v>15323.926799999999</v>
      </c>
      <c r="R509" s="3">
        <f t="shared" si="35"/>
        <v>7990.62</v>
      </c>
      <c r="S509" s="3">
        <v>7333.3067999999994</v>
      </c>
      <c r="T509" s="3">
        <f t="shared" si="36"/>
        <v>0.47855271665745619</v>
      </c>
      <c r="U509" s="3" t="str">
        <f t="shared" si="37"/>
        <v>Oct-2024</v>
      </c>
      <c r="AB509" s="3">
        <f t="shared" si="38"/>
        <v>7990.62</v>
      </c>
      <c r="AC509" s="3">
        <f t="shared" si="39"/>
        <v>15323.926799999999</v>
      </c>
    </row>
    <row r="510" spans="1:29" x14ac:dyDescent="0.35">
      <c r="A510" s="3" t="s">
        <v>522</v>
      </c>
      <c r="B510" s="4">
        <v>45029</v>
      </c>
      <c r="C510" s="4">
        <v>45036</v>
      </c>
      <c r="D510" s="5">
        <v>7</v>
      </c>
      <c r="E510" s="3" t="s">
        <v>649</v>
      </c>
      <c r="F510" s="3" t="s">
        <v>657</v>
      </c>
      <c r="G510" s="3" t="s">
        <v>679</v>
      </c>
      <c r="H510" s="3" t="s">
        <v>705</v>
      </c>
      <c r="I510" s="3" t="s">
        <v>708</v>
      </c>
      <c r="J510" s="3" t="s">
        <v>720</v>
      </c>
      <c r="K510" s="3" t="s">
        <v>731</v>
      </c>
      <c r="L510" s="3" t="s">
        <v>1241</v>
      </c>
      <c r="M510" s="3">
        <v>227.02</v>
      </c>
      <c r="N510" s="3">
        <v>434.72</v>
      </c>
      <c r="O510" s="3">
        <v>9.8000000000000004E-2</v>
      </c>
      <c r="P510" s="3">
        <v>10</v>
      </c>
      <c r="Q510" s="3">
        <v>3921.1744000000008</v>
      </c>
      <c r="R510" s="3">
        <f t="shared" si="35"/>
        <v>2270.2000000000003</v>
      </c>
      <c r="S510" s="3">
        <v>1650.9744000000005</v>
      </c>
      <c r="T510" s="3">
        <f t="shared" si="36"/>
        <v>0.42104079838938052</v>
      </c>
      <c r="U510" s="3" t="str">
        <f t="shared" si="37"/>
        <v>Apr-2023</v>
      </c>
      <c r="AB510" s="3">
        <f t="shared" si="38"/>
        <v>2270.2000000000003</v>
      </c>
      <c r="AC510" s="3">
        <f t="shared" si="39"/>
        <v>3921.1744000000008</v>
      </c>
    </row>
    <row r="511" spans="1:29" x14ac:dyDescent="0.35">
      <c r="A511" s="3" t="s">
        <v>523</v>
      </c>
      <c r="B511" s="4">
        <v>45608</v>
      </c>
      <c r="C511" s="4">
        <v>45617</v>
      </c>
      <c r="D511" s="5">
        <v>9</v>
      </c>
      <c r="E511" s="3" t="s">
        <v>647</v>
      </c>
      <c r="F511" s="3" t="s">
        <v>654</v>
      </c>
      <c r="G511" s="3" t="s">
        <v>691</v>
      </c>
      <c r="H511" s="3" t="s">
        <v>701</v>
      </c>
      <c r="I511" s="3" t="s">
        <v>711</v>
      </c>
      <c r="J511" s="3" t="s">
        <v>722</v>
      </c>
      <c r="K511" s="3" t="s">
        <v>731</v>
      </c>
      <c r="L511" s="3" t="s">
        <v>1242</v>
      </c>
      <c r="M511" s="3">
        <v>903.41</v>
      </c>
      <c r="N511" s="3">
        <v>1860.41</v>
      </c>
      <c r="O511" s="3">
        <v>0.108</v>
      </c>
      <c r="P511" s="3">
        <v>5</v>
      </c>
      <c r="Q511" s="3">
        <v>8297.4286000000011</v>
      </c>
      <c r="R511" s="3">
        <f t="shared" si="35"/>
        <v>4517.05</v>
      </c>
      <c r="S511" s="3">
        <v>3780.3786000000009</v>
      </c>
      <c r="T511" s="3">
        <f t="shared" si="36"/>
        <v>0.455608451996803</v>
      </c>
      <c r="U511" s="3" t="str">
        <f t="shared" si="37"/>
        <v>Nov-2024</v>
      </c>
      <c r="AB511" s="3">
        <f t="shared" si="38"/>
        <v>4517.05</v>
      </c>
      <c r="AC511" s="3">
        <f t="shared" si="39"/>
        <v>8297.4286000000011</v>
      </c>
    </row>
    <row r="512" spans="1:29" x14ac:dyDescent="0.35">
      <c r="A512" s="3" t="s">
        <v>524</v>
      </c>
      <c r="B512" s="4">
        <v>45056</v>
      </c>
      <c r="C512" s="4">
        <v>45060</v>
      </c>
      <c r="D512" s="5">
        <v>4</v>
      </c>
      <c r="E512" s="3" t="s">
        <v>647</v>
      </c>
      <c r="F512" s="3" t="s">
        <v>654</v>
      </c>
      <c r="G512" s="3" t="s">
        <v>680</v>
      </c>
      <c r="H512" s="3" t="s">
        <v>703</v>
      </c>
      <c r="I512" s="3" t="s">
        <v>710</v>
      </c>
      <c r="J512" s="3" t="s">
        <v>712</v>
      </c>
      <c r="K512" s="3" t="s">
        <v>732</v>
      </c>
      <c r="L512" s="3" t="s">
        <v>1243</v>
      </c>
      <c r="M512" s="3">
        <v>622.6</v>
      </c>
      <c r="N512" s="3">
        <v>833.69</v>
      </c>
      <c r="O512" s="3">
        <v>0.20899999999999999</v>
      </c>
      <c r="P512" s="3">
        <v>14</v>
      </c>
      <c r="Q512" s="3">
        <v>9232.2830599999998</v>
      </c>
      <c r="R512" s="3">
        <f t="shared" si="35"/>
        <v>8716.4</v>
      </c>
      <c r="S512" s="3">
        <v>515.88306000000011</v>
      </c>
      <c r="T512" s="3">
        <f t="shared" si="36"/>
        <v>5.5878167582959715E-2</v>
      </c>
      <c r="U512" s="3" t="str">
        <f t="shared" si="37"/>
        <v>May-2023</v>
      </c>
      <c r="AB512" s="3">
        <f t="shared" si="38"/>
        <v>8716.4</v>
      </c>
      <c r="AC512" s="3">
        <f t="shared" si="39"/>
        <v>9337.3279999999995</v>
      </c>
    </row>
    <row r="513" spans="1:29" x14ac:dyDescent="0.35">
      <c r="A513" s="3" t="s">
        <v>525</v>
      </c>
      <c r="B513" s="4">
        <v>45353</v>
      </c>
      <c r="C513" s="4">
        <v>45374</v>
      </c>
      <c r="D513" s="5">
        <v>21</v>
      </c>
      <c r="E513" s="3" t="s">
        <v>648</v>
      </c>
      <c r="F513" s="3" t="s">
        <v>660</v>
      </c>
      <c r="G513" s="3" t="s">
        <v>677</v>
      </c>
      <c r="H513" s="3" t="s">
        <v>705</v>
      </c>
      <c r="I513" s="3" t="s">
        <v>708</v>
      </c>
      <c r="J513" s="3" t="s">
        <v>721</v>
      </c>
      <c r="K513" s="3" t="s">
        <v>727</v>
      </c>
      <c r="L513" s="3" t="s">
        <v>1244</v>
      </c>
      <c r="M513" s="3">
        <v>225.01</v>
      </c>
      <c r="N513" s="3">
        <v>333.48</v>
      </c>
      <c r="O513" s="3">
        <v>0.11899999999999999</v>
      </c>
      <c r="P513" s="3">
        <v>12</v>
      </c>
      <c r="Q513" s="3">
        <v>3525.5505600000001</v>
      </c>
      <c r="R513" s="3">
        <f t="shared" si="35"/>
        <v>2700.12</v>
      </c>
      <c r="S513" s="3">
        <v>825.43056000000024</v>
      </c>
      <c r="T513" s="3">
        <f t="shared" si="36"/>
        <v>0.23412813004729685</v>
      </c>
      <c r="U513" s="3" t="str">
        <f t="shared" si="37"/>
        <v>Mar-2024</v>
      </c>
      <c r="AB513" s="3">
        <f t="shared" si="38"/>
        <v>2700.12</v>
      </c>
      <c r="AC513" s="3">
        <f t="shared" si="39"/>
        <v>3525.5505600000001</v>
      </c>
    </row>
    <row r="514" spans="1:29" x14ac:dyDescent="0.35">
      <c r="A514" s="3" t="s">
        <v>526</v>
      </c>
      <c r="B514" s="4">
        <v>45575</v>
      </c>
      <c r="C514" s="4">
        <v>45576</v>
      </c>
      <c r="D514" s="5">
        <v>1</v>
      </c>
      <c r="E514" s="3" t="s">
        <v>649</v>
      </c>
      <c r="F514" s="3" t="s">
        <v>658</v>
      </c>
      <c r="G514" s="3" t="s">
        <v>693</v>
      </c>
      <c r="H514" s="3" t="s">
        <v>703</v>
      </c>
      <c r="I514" s="3" t="s">
        <v>710</v>
      </c>
      <c r="J514" s="3" t="s">
        <v>716</v>
      </c>
      <c r="K514" s="3" t="s">
        <v>727</v>
      </c>
      <c r="L514" s="3" t="s">
        <v>1245</v>
      </c>
      <c r="M514" s="3">
        <v>1389.46</v>
      </c>
      <c r="N514" s="3">
        <v>1784.7</v>
      </c>
      <c r="O514" s="3">
        <v>0.14599999999999999</v>
      </c>
      <c r="P514" s="3">
        <v>33</v>
      </c>
      <c r="Q514" s="3">
        <v>50296.415399999998</v>
      </c>
      <c r="R514" s="3">
        <f t="shared" si="35"/>
        <v>45852.18</v>
      </c>
      <c r="S514" s="3">
        <v>4444.2353999999978</v>
      </c>
      <c r="T514" s="3">
        <f t="shared" si="36"/>
        <v>8.8360877503011831E-2</v>
      </c>
      <c r="U514" s="3" t="str">
        <f t="shared" si="37"/>
        <v>Oct-2024</v>
      </c>
      <c r="AB514" s="3">
        <f t="shared" si="38"/>
        <v>45852.18</v>
      </c>
      <c r="AC514" s="3">
        <f t="shared" si="39"/>
        <v>50296.415399999998</v>
      </c>
    </row>
    <row r="515" spans="1:29" x14ac:dyDescent="0.35">
      <c r="A515" s="3" t="s">
        <v>527</v>
      </c>
      <c r="B515" s="4">
        <v>45078</v>
      </c>
      <c r="C515" s="4">
        <v>45085</v>
      </c>
      <c r="D515" s="5">
        <v>7</v>
      </c>
      <c r="E515" s="3" t="s">
        <v>649</v>
      </c>
      <c r="F515" s="3" t="s">
        <v>656</v>
      </c>
      <c r="G515" s="3" t="s">
        <v>698</v>
      </c>
      <c r="H515" s="3" t="s">
        <v>704</v>
      </c>
      <c r="I515" s="3" t="s">
        <v>708</v>
      </c>
      <c r="J515" s="3" t="s">
        <v>720</v>
      </c>
      <c r="K515" s="3" t="s">
        <v>730</v>
      </c>
      <c r="L515" s="3" t="s">
        <v>1246</v>
      </c>
      <c r="M515" s="3">
        <v>804.17</v>
      </c>
      <c r="N515" s="3">
        <v>1072.29</v>
      </c>
      <c r="O515" s="3">
        <v>3.2000000000000001E-2</v>
      </c>
      <c r="P515" s="3">
        <v>5</v>
      </c>
      <c r="Q515" s="3">
        <v>5189.8836000000001</v>
      </c>
      <c r="R515" s="3">
        <f t="shared" ref="R515:R578" si="40">M515*P515</f>
        <v>4020.85</v>
      </c>
      <c r="S515" s="3">
        <v>1169.0336000000002</v>
      </c>
      <c r="T515" s="3">
        <f t="shared" ref="T515:T578" si="41">IF(Q515=0,0,S515/Q515)</f>
        <v>0.2252523736755869</v>
      </c>
      <c r="U515" s="3" t="str">
        <f t="shared" ref="U515:U578" si="42">TEXT(B515, "mmm-yyyy")</f>
        <v>Jun-2023</v>
      </c>
      <c r="AB515" s="3">
        <f t="shared" ref="AB515:AB578" si="43">M515 * P515 * (1+ $AF$2)</f>
        <v>4020.85</v>
      </c>
      <c r="AC515" s="3">
        <f t="shared" ref="AC515:AC578" si="44">N515 * P515 * (1- MIN(O515, $AF$3))</f>
        <v>5189.8836000000001</v>
      </c>
    </row>
    <row r="516" spans="1:29" x14ac:dyDescent="0.35">
      <c r="A516" s="3" t="s">
        <v>528</v>
      </c>
      <c r="B516" s="4">
        <v>45661</v>
      </c>
      <c r="C516" s="4">
        <v>45662</v>
      </c>
      <c r="D516" s="5">
        <v>1</v>
      </c>
      <c r="E516" s="3" t="s">
        <v>647</v>
      </c>
      <c r="F516" s="3" t="s">
        <v>654</v>
      </c>
      <c r="G516" s="3" t="s">
        <v>680</v>
      </c>
      <c r="H516" s="3" t="s">
        <v>702</v>
      </c>
      <c r="I516" s="3" t="s">
        <v>707</v>
      </c>
      <c r="J516" s="3" t="s">
        <v>714</v>
      </c>
      <c r="K516" s="3" t="s">
        <v>727</v>
      </c>
      <c r="L516" s="3" t="s">
        <v>1247</v>
      </c>
      <c r="M516" s="3">
        <v>1428.33</v>
      </c>
      <c r="N516" s="3">
        <v>3028.05</v>
      </c>
      <c r="O516" s="3">
        <v>0</v>
      </c>
      <c r="P516" s="3">
        <v>11</v>
      </c>
      <c r="Q516" s="3">
        <v>33308.550000000003</v>
      </c>
      <c r="R516" s="3">
        <f t="shared" si="40"/>
        <v>15711.63</v>
      </c>
      <c r="S516" s="3">
        <v>17596.920000000006</v>
      </c>
      <c r="T516" s="3">
        <f t="shared" si="41"/>
        <v>0.52830039134096207</v>
      </c>
      <c r="U516" s="3" t="str">
        <f t="shared" si="42"/>
        <v>Jan-2025</v>
      </c>
      <c r="AB516" s="3">
        <f t="shared" si="43"/>
        <v>15711.63</v>
      </c>
      <c r="AC516" s="3">
        <f t="shared" si="44"/>
        <v>33308.550000000003</v>
      </c>
    </row>
    <row r="517" spans="1:29" x14ac:dyDescent="0.35">
      <c r="A517" s="3" t="s">
        <v>529</v>
      </c>
      <c r="B517" s="4">
        <v>45874</v>
      </c>
      <c r="C517" s="4">
        <v>45897</v>
      </c>
      <c r="D517" s="5">
        <v>23</v>
      </c>
      <c r="E517" s="3" t="s">
        <v>647</v>
      </c>
      <c r="F517" s="3" t="s">
        <v>654</v>
      </c>
      <c r="G517" s="3" t="s">
        <v>691</v>
      </c>
      <c r="H517" s="3" t="s">
        <v>703</v>
      </c>
      <c r="I517" s="3" t="s">
        <v>710</v>
      </c>
      <c r="J517" s="3" t="s">
        <v>725</v>
      </c>
      <c r="K517" s="3" t="s">
        <v>731</v>
      </c>
      <c r="L517" s="3" t="s">
        <v>1248</v>
      </c>
      <c r="M517" s="3">
        <v>638.54</v>
      </c>
      <c r="N517" s="3">
        <v>987.24</v>
      </c>
      <c r="O517" s="3">
        <v>0</v>
      </c>
      <c r="P517" s="3">
        <v>11</v>
      </c>
      <c r="Q517" s="3">
        <v>10859.64</v>
      </c>
      <c r="R517" s="3">
        <f t="shared" si="40"/>
        <v>7023.94</v>
      </c>
      <c r="S517" s="3">
        <v>3835.7</v>
      </c>
      <c r="T517" s="3">
        <f t="shared" si="41"/>
        <v>0.35320692030306716</v>
      </c>
      <c r="U517" s="3" t="str">
        <f t="shared" si="42"/>
        <v>Aug-2025</v>
      </c>
      <c r="AB517" s="3">
        <f t="shared" si="43"/>
        <v>7023.94</v>
      </c>
      <c r="AC517" s="3">
        <f t="shared" si="44"/>
        <v>10859.64</v>
      </c>
    </row>
    <row r="518" spans="1:29" x14ac:dyDescent="0.35">
      <c r="A518" s="3" t="s">
        <v>530</v>
      </c>
      <c r="B518" s="4">
        <v>45199</v>
      </c>
      <c r="C518" s="4">
        <v>45229</v>
      </c>
      <c r="D518" s="5">
        <v>30</v>
      </c>
      <c r="E518" s="3" t="s">
        <v>647</v>
      </c>
      <c r="F518" s="3" t="s">
        <v>652</v>
      </c>
      <c r="G518" s="3" t="s">
        <v>689</v>
      </c>
      <c r="H518" s="3" t="s">
        <v>706</v>
      </c>
      <c r="I518" s="3" t="s">
        <v>708</v>
      </c>
      <c r="J518" s="3" t="s">
        <v>726</v>
      </c>
      <c r="K518" s="3" t="s">
        <v>728</v>
      </c>
      <c r="L518" s="3" t="s">
        <v>1249</v>
      </c>
      <c r="M518" s="3">
        <v>649.13</v>
      </c>
      <c r="N518" s="3">
        <v>975.43</v>
      </c>
      <c r="O518" s="3">
        <v>0.157</v>
      </c>
      <c r="P518" s="3">
        <v>27</v>
      </c>
      <c r="Q518" s="3">
        <v>22201.762229999997</v>
      </c>
      <c r="R518" s="3">
        <f t="shared" si="40"/>
        <v>17526.509999999998</v>
      </c>
      <c r="S518" s="3">
        <v>4675.2522299999982</v>
      </c>
      <c r="T518" s="3">
        <f t="shared" si="41"/>
        <v>0.21058023149543473</v>
      </c>
      <c r="U518" s="3" t="str">
        <f t="shared" si="42"/>
        <v>Sep-2023</v>
      </c>
      <c r="AB518" s="3">
        <f t="shared" si="43"/>
        <v>17526.509999999998</v>
      </c>
      <c r="AC518" s="3">
        <f t="shared" si="44"/>
        <v>22201.762229999997</v>
      </c>
    </row>
    <row r="519" spans="1:29" x14ac:dyDescent="0.35">
      <c r="A519" s="3" t="s">
        <v>531</v>
      </c>
      <c r="B519" s="4">
        <v>45794</v>
      </c>
      <c r="C519" s="4">
        <v>45807</v>
      </c>
      <c r="D519" s="5">
        <v>13</v>
      </c>
      <c r="E519" s="3" t="s">
        <v>646</v>
      </c>
      <c r="F519" s="3" t="s">
        <v>651</v>
      </c>
      <c r="G519" s="3" t="s">
        <v>665</v>
      </c>
      <c r="H519" s="3" t="s">
        <v>704</v>
      </c>
      <c r="I519" s="3" t="s">
        <v>710</v>
      </c>
      <c r="J519" s="3" t="s">
        <v>721</v>
      </c>
      <c r="K519" s="3" t="s">
        <v>733</v>
      </c>
      <c r="L519" s="3" t="s">
        <v>1250</v>
      </c>
      <c r="M519" s="3">
        <v>66.400000000000006</v>
      </c>
      <c r="N519" s="3">
        <v>141.43</v>
      </c>
      <c r="O519" s="3">
        <v>0.107</v>
      </c>
      <c r="P519" s="3">
        <v>8</v>
      </c>
      <c r="Q519" s="3">
        <v>1010.3759200000001</v>
      </c>
      <c r="R519" s="3">
        <f t="shared" si="40"/>
        <v>531.20000000000005</v>
      </c>
      <c r="S519" s="3">
        <v>479.17592000000002</v>
      </c>
      <c r="T519" s="3">
        <f t="shared" si="41"/>
        <v>0.47425508715607551</v>
      </c>
      <c r="U519" s="3" t="str">
        <f t="shared" si="42"/>
        <v>May-2025</v>
      </c>
      <c r="AB519" s="3">
        <f t="shared" si="43"/>
        <v>531.20000000000005</v>
      </c>
      <c r="AC519" s="3">
        <f t="shared" si="44"/>
        <v>1010.3759200000001</v>
      </c>
    </row>
    <row r="520" spans="1:29" x14ac:dyDescent="0.35">
      <c r="A520" s="3" t="s">
        <v>532</v>
      </c>
      <c r="B520" s="4">
        <v>45413</v>
      </c>
      <c r="C520" s="4">
        <v>45438</v>
      </c>
      <c r="D520" s="5">
        <v>25</v>
      </c>
      <c r="E520" s="3" t="s">
        <v>649</v>
      </c>
      <c r="F520" s="3" t="s">
        <v>656</v>
      </c>
      <c r="G520" s="3" t="s">
        <v>671</v>
      </c>
      <c r="H520" s="3" t="s">
        <v>703</v>
      </c>
      <c r="I520" s="3" t="s">
        <v>707</v>
      </c>
      <c r="J520" s="3" t="s">
        <v>717</v>
      </c>
      <c r="K520" s="3" t="s">
        <v>729</v>
      </c>
      <c r="L520" s="3" t="s">
        <v>1251</v>
      </c>
      <c r="M520" s="3">
        <v>930.71</v>
      </c>
      <c r="N520" s="3">
        <v>1625.42</v>
      </c>
      <c r="O520" s="3">
        <v>0.13800000000000001</v>
      </c>
      <c r="P520" s="3">
        <v>7</v>
      </c>
      <c r="Q520" s="3">
        <v>9807.7842799999999</v>
      </c>
      <c r="R520" s="3">
        <f t="shared" si="40"/>
        <v>6514.97</v>
      </c>
      <c r="S520" s="3">
        <v>3292.8142799999996</v>
      </c>
      <c r="T520" s="3">
        <f t="shared" si="41"/>
        <v>0.33573477821231196</v>
      </c>
      <c r="U520" s="3" t="str">
        <f t="shared" si="42"/>
        <v>May-2024</v>
      </c>
      <c r="AB520" s="3">
        <f t="shared" si="43"/>
        <v>6514.97</v>
      </c>
      <c r="AC520" s="3">
        <f t="shared" si="44"/>
        <v>9807.7842799999999</v>
      </c>
    </row>
    <row r="521" spans="1:29" x14ac:dyDescent="0.35">
      <c r="A521" s="3" t="s">
        <v>533</v>
      </c>
      <c r="B521" s="4">
        <v>45047</v>
      </c>
      <c r="C521" s="4">
        <v>45064</v>
      </c>
      <c r="D521" s="5">
        <v>17</v>
      </c>
      <c r="E521" s="3" t="s">
        <v>646</v>
      </c>
      <c r="F521" s="3" t="s">
        <v>651</v>
      </c>
      <c r="G521" s="3" t="s">
        <v>663</v>
      </c>
      <c r="H521" s="3" t="s">
        <v>701</v>
      </c>
      <c r="I521" s="3" t="s">
        <v>711</v>
      </c>
      <c r="J521" s="3" t="s">
        <v>721</v>
      </c>
      <c r="K521" s="3" t="s">
        <v>727</v>
      </c>
      <c r="L521" s="3" t="s">
        <v>1252</v>
      </c>
      <c r="M521" s="3">
        <v>327.97</v>
      </c>
      <c r="N521" s="3">
        <v>299.94</v>
      </c>
      <c r="O521" s="3">
        <v>4.9000000000000002E-2</v>
      </c>
      <c r="P521" s="3">
        <v>3</v>
      </c>
      <c r="Q521" s="3">
        <v>855.72881999999993</v>
      </c>
      <c r="R521" s="3">
        <f t="shared" si="40"/>
        <v>983.91000000000008</v>
      </c>
      <c r="S521" s="3">
        <v>128.18118000000015</v>
      </c>
      <c r="T521" s="3">
        <f t="shared" si="41"/>
        <v>0.14979182306843442</v>
      </c>
      <c r="U521" s="3" t="str">
        <f t="shared" si="42"/>
        <v>May-2023</v>
      </c>
      <c r="AB521" s="3">
        <f t="shared" si="43"/>
        <v>983.91000000000008</v>
      </c>
      <c r="AC521" s="3">
        <f t="shared" si="44"/>
        <v>855.72881999999993</v>
      </c>
    </row>
    <row r="522" spans="1:29" x14ac:dyDescent="0.35">
      <c r="A522" s="3" t="s">
        <v>534</v>
      </c>
      <c r="B522" s="4">
        <v>45482</v>
      </c>
      <c r="C522" s="4">
        <v>45512</v>
      </c>
      <c r="D522" s="5">
        <v>30</v>
      </c>
      <c r="E522" s="3" t="s">
        <v>649</v>
      </c>
      <c r="F522" s="3" t="s">
        <v>657</v>
      </c>
      <c r="G522" s="3" t="s">
        <v>673</v>
      </c>
      <c r="H522" s="3" t="s">
        <v>701</v>
      </c>
      <c r="I522" s="3" t="s">
        <v>711</v>
      </c>
      <c r="J522" s="3" t="s">
        <v>713</v>
      </c>
      <c r="K522" s="3" t="s">
        <v>727</v>
      </c>
      <c r="L522" s="3" t="s">
        <v>1253</v>
      </c>
      <c r="M522" s="3">
        <v>1062.3800000000001</v>
      </c>
      <c r="N522" s="3">
        <v>1503.96</v>
      </c>
      <c r="O522" s="3">
        <v>0.18</v>
      </c>
      <c r="P522" s="3">
        <v>6</v>
      </c>
      <c r="Q522" s="3">
        <v>7399.4832000000006</v>
      </c>
      <c r="R522" s="3">
        <f t="shared" si="40"/>
        <v>6374.2800000000007</v>
      </c>
      <c r="S522" s="3">
        <v>1025.2031999999999</v>
      </c>
      <c r="T522" s="3">
        <f t="shared" si="41"/>
        <v>0.13855064905073369</v>
      </c>
      <c r="U522" s="3" t="str">
        <f t="shared" si="42"/>
        <v>Jul-2024</v>
      </c>
      <c r="AB522" s="3">
        <f t="shared" si="43"/>
        <v>6374.2800000000007</v>
      </c>
      <c r="AC522" s="3">
        <f t="shared" si="44"/>
        <v>7399.4832000000006</v>
      </c>
    </row>
    <row r="523" spans="1:29" x14ac:dyDescent="0.35">
      <c r="A523" s="3" t="s">
        <v>535</v>
      </c>
      <c r="B523" s="4">
        <v>45056</v>
      </c>
      <c r="C523" s="4">
        <v>45073</v>
      </c>
      <c r="D523" s="5">
        <v>17</v>
      </c>
      <c r="E523" s="3" t="s">
        <v>647</v>
      </c>
      <c r="F523" s="3" t="s">
        <v>654</v>
      </c>
      <c r="G523" s="3" t="s">
        <v>691</v>
      </c>
      <c r="H523" s="3" t="s">
        <v>704</v>
      </c>
      <c r="I523" s="3" t="s">
        <v>707</v>
      </c>
      <c r="J523" s="3" t="s">
        <v>724</v>
      </c>
      <c r="K523" s="3" t="s">
        <v>731</v>
      </c>
      <c r="L523" s="3" t="s">
        <v>1254</v>
      </c>
      <c r="M523" s="3">
        <v>1286.1600000000001</v>
      </c>
      <c r="N523" s="3">
        <v>3101.11</v>
      </c>
      <c r="O523" s="3">
        <v>0.1</v>
      </c>
      <c r="P523" s="3">
        <v>23</v>
      </c>
      <c r="Q523" s="3">
        <v>64192.976999999999</v>
      </c>
      <c r="R523" s="3">
        <f t="shared" si="40"/>
        <v>29581.68</v>
      </c>
      <c r="S523" s="3">
        <v>34611.296999999999</v>
      </c>
      <c r="T523" s="3">
        <f t="shared" si="41"/>
        <v>0.53917575749758417</v>
      </c>
      <c r="U523" s="3" t="str">
        <f t="shared" si="42"/>
        <v>May-2023</v>
      </c>
      <c r="AB523" s="3">
        <f t="shared" si="43"/>
        <v>29581.68</v>
      </c>
      <c r="AC523" s="3">
        <f t="shared" si="44"/>
        <v>64192.976999999999</v>
      </c>
    </row>
    <row r="524" spans="1:29" x14ac:dyDescent="0.35">
      <c r="A524" s="3" t="s">
        <v>536</v>
      </c>
      <c r="B524" s="4">
        <v>45482</v>
      </c>
      <c r="C524" s="4">
        <v>45485</v>
      </c>
      <c r="D524" s="5">
        <v>3</v>
      </c>
      <c r="E524" s="3" t="s">
        <v>647</v>
      </c>
      <c r="F524" s="3" t="s">
        <v>659</v>
      </c>
      <c r="G524" s="3" t="s">
        <v>685</v>
      </c>
      <c r="H524" s="3" t="s">
        <v>705</v>
      </c>
      <c r="I524" s="3" t="s">
        <v>707</v>
      </c>
      <c r="J524" s="3" t="s">
        <v>726</v>
      </c>
      <c r="K524" s="3" t="s">
        <v>733</v>
      </c>
      <c r="L524" s="3" t="s">
        <v>1255</v>
      </c>
      <c r="M524" s="3">
        <v>748.39</v>
      </c>
      <c r="N524" s="3">
        <v>979.42</v>
      </c>
      <c r="O524" s="3">
        <v>0</v>
      </c>
      <c r="P524" s="3">
        <v>23</v>
      </c>
      <c r="Q524" s="3">
        <v>22526.66</v>
      </c>
      <c r="R524" s="3">
        <f t="shared" si="40"/>
        <v>17212.97</v>
      </c>
      <c r="S524" s="3">
        <v>5313.6899999999987</v>
      </c>
      <c r="T524" s="3">
        <f t="shared" si="41"/>
        <v>0.23588450307324738</v>
      </c>
      <c r="U524" s="3" t="str">
        <f t="shared" si="42"/>
        <v>Jul-2024</v>
      </c>
      <c r="AB524" s="3">
        <f t="shared" si="43"/>
        <v>17212.97</v>
      </c>
      <c r="AC524" s="3">
        <f t="shared" si="44"/>
        <v>22526.66</v>
      </c>
    </row>
    <row r="525" spans="1:29" x14ac:dyDescent="0.35">
      <c r="A525" s="3" t="s">
        <v>537</v>
      </c>
      <c r="B525" s="4">
        <v>45406</v>
      </c>
      <c r="C525" s="4">
        <v>45422</v>
      </c>
      <c r="D525" s="5">
        <v>16</v>
      </c>
      <c r="E525" s="3" t="s">
        <v>646</v>
      </c>
      <c r="F525" s="3" t="s">
        <v>650</v>
      </c>
      <c r="G525" s="3" t="s">
        <v>662</v>
      </c>
      <c r="H525" s="3" t="s">
        <v>703</v>
      </c>
      <c r="I525" s="3" t="s">
        <v>708</v>
      </c>
      <c r="J525" s="3" t="s">
        <v>725</v>
      </c>
      <c r="K525" s="3" t="s">
        <v>732</v>
      </c>
      <c r="L525" s="3" t="s">
        <v>1256</v>
      </c>
      <c r="M525" s="3">
        <v>513.30999999999995</v>
      </c>
      <c r="N525" s="3">
        <v>1186.26</v>
      </c>
      <c r="O525" s="3">
        <v>9.4E-2</v>
      </c>
      <c r="P525" s="3">
        <v>15</v>
      </c>
      <c r="Q525" s="3">
        <v>16121.273400000002</v>
      </c>
      <c r="R525" s="3">
        <f t="shared" si="40"/>
        <v>7699.65</v>
      </c>
      <c r="S525" s="3">
        <v>8421.6234000000022</v>
      </c>
      <c r="T525" s="3">
        <f t="shared" si="41"/>
        <v>0.52239194702820446</v>
      </c>
      <c r="U525" s="3" t="str">
        <f t="shared" si="42"/>
        <v>Apr-2024</v>
      </c>
      <c r="AB525" s="3">
        <f t="shared" si="43"/>
        <v>7699.65</v>
      </c>
      <c r="AC525" s="3">
        <f t="shared" si="44"/>
        <v>16121.273400000002</v>
      </c>
    </row>
    <row r="526" spans="1:29" x14ac:dyDescent="0.35">
      <c r="A526" s="3" t="s">
        <v>538</v>
      </c>
      <c r="B526" s="4">
        <v>45304</v>
      </c>
      <c r="C526" s="4">
        <v>45306</v>
      </c>
      <c r="D526" s="5">
        <v>2</v>
      </c>
      <c r="E526" s="3" t="s">
        <v>648</v>
      </c>
      <c r="F526" s="3" t="s">
        <v>660</v>
      </c>
      <c r="G526" s="3" t="s">
        <v>686</v>
      </c>
      <c r="H526" s="3" t="s">
        <v>703</v>
      </c>
      <c r="I526" s="3" t="s">
        <v>711</v>
      </c>
      <c r="J526" s="3" t="s">
        <v>718</v>
      </c>
      <c r="K526" s="3" t="s">
        <v>727</v>
      </c>
      <c r="L526" s="3" t="s">
        <v>1257</v>
      </c>
      <c r="M526" s="3">
        <v>1061.3699999999999</v>
      </c>
      <c r="N526" s="3">
        <v>1938.33</v>
      </c>
      <c r="O526" s="3">
        <v>0.17</v>
      </c>
      <c r="P526" s="3">
        <v>4</v>
      </c>
      <c r="Q526" s="3">
        <v>6435.2555999999995</v>
      </c>
      <c r="R526" s="3">
        <f t="shared" si="40"/>
        <v>4245.4799999999996</v>
      </c>
      <c r="S526" s="3">
        <v>2189.7755999999999</v>
      </c>
      <c r="T526" s="3">
        <f t="shared" si="41"/>
        <v>0.34027795259600879</v>
      </c>
      <c r="U526" s="3" t="str">
        <f t="shared" si="42"/>
        <v>Jan-2024</v>
      </c>
      <c r="AB526" s="3">
        <f t="shared" si="43"/>
        <v>4245.4799999999996</v>
      </c>
      <c r="AC526" s="3">
        <f t="shared" si="44"/>
        <v>6435.2555999999995</v>
      </c>
    </row>
    <row r="527" spans="1:29" x14ac:dyDescent="0.35">
      <c r="A527" s="3" t="s">
        <v>539</v>
      </c>
      <c r="B527" s="4">
        <v>45398</v>
      </c>
      <c r="C527" s="4">
        <v>45409</v>
      </c>
      <c r="D527" s="5">
        <v>11</v>
      </c>
      <c r="E527" s="3" t="s">
        <v>646</v>
      </c>
      <c r="F527" s="3" t="s">
        <v>650</v>
      </c>
      <c r="G527" s="3" t="s">
        <v>678</v>
      </c>
      <c r="H527" s="3" t="s">
        <v>706</v>
      </c>
      <c r="I527" s="3" t="s">
        <v>708</v>
      </c>
      <c r="J527" s="3" t="s">
        <v>726</v>
      </c>
      <c r="K527" s="3" t="s">
        <v>728</v>
      </c>
      <c r="L527" s="3" t="s">
        <v>1258</v>
      </c>
      <c r="M527" s="3">
        <v>401.3</v>
      </c>
      <c r="N527" s="3">
        <v>826.47</v>
      </c>
      <c r="O527" s="3">
        <v>0.22500000000000001</v>
      </c>
      <c r="P527" s="3">
        <v>13</v>
      </c>
      <c r="Q527" s="3">
        <v>8326.6852500000005</v>
      </c>
      <c r="R527" s="3">
        <f t="shared" si="40"/>
        <v>5216.9000000000005</v>
      </c>
      <c r="S527" s="3">
        <v>3109.7852499999999</v>
      </c>
      <c r="T527" s="3">
        <f t="shared" si="41"/>
        <v>0.37347217489696755</v>
      </c>
      <c r="U527" s="3" t="str">
        <f t="shared" si="42"/>
        <v>Apr-2024</v>
      </c>
      <c r="AB527" s="3">
        <f t="shared" si="43"/>
        <v>5216.9000000000005</v>
      </c>
      <c r="AC527" s="3">
        <f t="shared" si="44"/>
        <v>8595.2880000000005</v>
      </c>
    </row>
    <row r="528" spans="1:29" x14ac:dyDescent="0.35">
      <c r="A528" s="3" t="s">
        <v>540</v>
      </c>
      <c r="B528" s="4">
        <v>45695</v>
      </c>
      <c r="C528" s="4">
        <v>45704</v>
      </c>
      <c r="D528" s="5">
        <v>9</v>
      </c>
      <c r="E528" s="3" t="s">
        <v>646</v>
      </c>
      <c r="F528" s="3" t="s">
        <v>651</v>
      </c>
      <c r="G528" s="3" t="s">
        <v>665</v>
      </c>
      <c r="H528" s="3" t="s">
        <v>705</v>
      </c>
      <c r="I528" s="3" t="s">
        <v>710</v>
      </c>
      <c r="J528" s="3" t="s">
        <v>712</v>
      </c>
      <c r="K528" s="3" t="s">
        <v>728</v>
      </c>
      <c r="L528" s="3" t="s">
        <v>1259</v>
      </c>
      <c r="M528" s="3">
        <v>90.68</v>
      </c>
      <c r="N528" s="3">
        <v>118.17</v>
      </c>
      <c r="O528" s="3">
        <v>0.13500000000000001</v>
      </c>
      <c r="P528" s="3">
        <v>21</v>
      </c>
      <c r="Q528" s="3">
        <v>2146.5580500000001</v>
      </c>
      <c r="R528" s="3">
        <f t="shared" si="40"/>
        <v>1904.2800000000002</v>
      </c>
      <c r="S528" s="3">
        <v>242.27804999999989</v>
      </c>
      <c r="T528" s="3">
        <f t="shared" si="41"/>
        <v>0.11286815653552899</v>
      </c>
      <c r="U528" s="3" t="str">
        <f t="shared" si="42"/>
        <v>Feb-2025</v>
      </c>
      <c r="AB528" s="3">
        <f t="shared" si="43"/>
        <v>1904.2800000000002</v>
      </c>
      <c r="AC528" s="3">
        <f t="shared" si="44"/>
        <v>2146.5580500000001</v>
      </c>
    </row>
    <row r="529" spans="1:29" x14ac:dyDescent="0.35">
      <c r="A529" s="3" t="s">
        <v>541</v>
      </c>
      <c r="B529" s="4">
        <v>44938</v>
      </c>
      <c r="C529" s="4">
        <v>44952</v>
      </c>
      <c r="D529" s="5">
        <v>14</v>
      </c>
      <c r="E529" s="3" t="s">
        <v>647</v>
      </c>
      <c r="F529" s="3" t="s">
        <v>659</v>
      </c>
      <c r="G529" s="3" t="s">
        <v>676</v>
      </c>
      <c r="H529" s="3" t="s">
        <v>703</v>
      </c>
      <c r="I529" s="3" t="s">
        <v>707</v>
      </c>
      <c r="J529" s="3" t="s">
        <v>724</v>
      </c>
      <c r="K529" s="3" t="s">
        <v>728</v>
      </c>
      <c r="L529" s="3" t="s">
        <v>1260</v>
      </c>
      <c r="M529" s="3">
        <v>1083.0899999999999</v>
      </c>
      <c r="N529" s="3">
        <v>1425.87</v>
      </c>
      <c r="O529" s="3">
        <v>0</v>
      </c>
      <c r="P529" s="3">
        <v>8</v>
      </c>
      <c r="Q529" s="3">
        <v>11406.96</v>
      </c>
      <c r="R529" s="3">
        <f t="shared" si="40"/>
        <v>8664.7199999999993</v>
      </c>
      <c r="S529" s="3">
        <v>2742.24</v>
      </c>
      <c r="T529" s="3">
        <f t="shared" si="41"/>
        <v>0.24040059752992909</v>
      </c>
      <c r="U529" s="3" t="str">
        <f t="shared" si="42"/>
        <v>Jan-2023</v>
      </c>
      <c r="AB529" s="3">
        <f t="shared" si="43"/>
        <v>8664.7199999999993</v>
      </c>
      <c r="AC529" s="3">
        <f t="shared" si="44"/>
        <v>11406.96</v>
      </c>
    </row>
    <row r="530" spans="1:29" x14ac:dyDescent="0.35">
      <c r="A530" s="3" t="s">
        <v>542</v>
      </c>
      <c r="B530" s="4">
        <v>45448</v>
      </c>
      <c r="C530" s="4">
        <v>45466</v>
      </c>
      <c r="D530" s="5">
        <v>18</v>
      </c>
      <c r="E530" s="3" t="s">
        <v>646</v>
      </c>
      <c r="F530" s="3" t="s">
        <v>650</v>
      </c>
      <c r="G530" s="3" t="s">
        <v>664</v>
      </c>
      <c r="H530" s="3" t="s">
        <v>704</v>
      </c>
      <c r="I530" s="3" t="s">
        <v>710</v>
      </c>
      <c r="J530" s="3" t="s">
        <v>726</v>
      </c>
      <c r="K530" s="3" t="s">
        <v>731</v>
      </c>
      <c r="L530" s="3" t="s">
        <v>1261</v>
      </c>
      <c r="M530" s="3">
        <v>1208.74</v>
      </c>
      <c r="N530" s="3">
        <v>1594.78</v>
      </c>
      <c r="O530" s="3">
        <v>5.8999999999999997E-2</v>
      </c>
      <c r="P530" s="3">
        <v>39</v>
      </c>
      <c r="Q530" s="3">
        <v>58526.83122</v>
      </c>
      <c r="R530" s="3">
        <f t="shared" si="40"/>
        <v>47140.86</v>
      </c>
      <c r="S530" s="3">
        <v>11385.971219999999</v>
      </c>
      <c r="T530" s="3">
        <f t="shared" si="41"/>
        <v>0.1945427589817838</v>
      </c>
      <c r="U530" s="3" t="str">
        <f t="shared" si="42"/>
        <v>Jun-2024</v>
      </c>
      <c r="AB530" s="3">
        <f t="shared" si="43"/>
        <v>47140.86</v>
      </c>
      <c r="AC530" s="3">
        <f t="shared" si="44"/>
        <v>58526.83122</v>
      </c>
    </row>
    <row r="531" spans="1:29" x14ac:dyDescent="0.35">
      <c r="A531" s="3" t="s">
        <v>543</v>
      </c>
      <c r="B531" s="4">
        <v>45162</v>
      </c>
      <c r="C531" s="4">
        <v>45189</v>
      </c>
      <c r="D531" s="5">
        <v>27</v>
      </c>
      <c r="E531" s="3" t="s">
        <v>646</v>
      </c>
      <c r="F531" s="3" t="s">
        <v>661</v>
      </c>
      <c r="G531" s="3" t="s">
        <v>687</v>
      </c>
      <c r="H531" s="3" t="s">
        <v>705</v>
      </c>
      <c r="I531" s="3" t="s">
        <v>709</v>
      </c>
      <c r="J531" s="3" t="s">
        <v>724</v>
      </c>
      <c r="K531" s="3" t="s">
        <v>728</v>
      </c>
      <c r="L531" s="3" t="s">
        <v>1262</v>
      </c>
      <c r="M531" s="3">
        <v>1399.64</v>
      </c>
      <c r="N531" s="3">
        <v>3342.11</v>
      </c>
      <c r="O531" s="3">
        <v>0</v>
      </c>
      <c r="P531" s="3">
        <v>10</v>
      </c>
      <c r="Q531" s="3">
        <v>33421.1</v>
      </c>
      <c r="R531" s="3">
        <f t="shared" si="40"/>
        <v>13996.400000000001</v>
      </c>
      <c r="S531" s="3">
        <v>19424.699999999997</v>
      </c>
      <c r="T531" s="3">
        <f t="shared" si="41"/>
        <v>0.58121067229983447</v>
      </c>
      <c r="U531" s="3" t="str">
        <f t="shared" si="42"/>
        <v>Aug-2023</v>
      </c>
      <c r="AB531" s="3">
        <f t="shared" si="43"/>
        <v>13996.400000000001</v>
      </c>
      <c r="AC531" s="3">
        <f t="shared" si="44"/>
        <v>33421.1</v>
      </c>
    </row>
    <row r="532" spans="1:29" x14ac:dyDescent="0.35">
      <c r="A532" s="3" t="s">
        <v>544</v>
      </c>
      <c r="B532" s="4">
        <v>45316</v>
      </c>
      <c r="C532" s="4">
        <v>45330</v>
      </c>
      <c r="D532" s="5">
        <v>14</v>
      </c>
      <c r="E532" s="3" t="s">
        <v>647</v>
      </c>
      <c r="F532" s="3" t="s">
        <v>652</v>
      </c>
      <c r="G532" s="3" t="s">
        <v>666</v>
      </c>
      <c r="H532" s="3" t="s">
        <v>704</v>
      </c>
      <c r="I532" s="3" t="s">
        <v>709</v>
      </c>
      <c r="J532" s="3" t="s">
        <v>714</v>
      </c>
      <c r="K532" s="3" t="s">
        <v>729</v>
      </c>
      <c r="L532" s="3" t="s">
        <v>1263</v>
      </c>
      <c r="M532" s="3">
        <v>937.16</v>
      </c>
      <c r="N532" s="3">
        <v>1069.77</v>
      </c>
      <c r="O532" s="3">
        <v>3.7999999999999999E-2</v>
      </c>
      <c r="P532" s="3">
        <v>9</v>
      </c>
      <c r="Q532" s="3">
        <v>9262.0686600000008</v>
      </c>
      <c r="R532" s="3">
        <f t="shared" si="40"/>
        <v>8434.44</v>
      </c>
      <c r="S532" s="3">
        <v>827.62866000000031</v>
      </c>
      <c r="T532" s="3">
        <f t="shared" si="41"/>
        <v>8.9356783066645962E-2</v>
      </c>
      <c r="U532" s="3" t="str">
        <f t="shared" si="42"/>
        <v>Jan-2024</v>
      </c>
      <c r="AB532" s="3">
        <f t="shared" si="43"/>
        <v>8434.44</v>
      </c>
      <c r="AC532" s="3">
        <f t="shared" si="44"/>
        <v>9262.0686600000008</v>
      </c>
    </row>
    <row r="533" spans="1:29" x14ac:dyDescent="0.35">
      <c r="A533" s="3" t="s">
        <v>545</v>
      </c>
      <c r="B533" s="4">
        <v>45727</v>
      </c>
      <c r="C533" s="4">
        <v>45742</v>
      </c>
      <c r="D533" s="5">
        <v>15</v>
      </c>
      <c r="E533" s="3" t="s">
        <v>649</v>
      </c>
      <c r="F533" s="3" t="s">
        <v>656</v>
      </c>
      <c r="G533" s="3" t="s">
        <v>671</v>
      </c>
      <c r="H533" s="3" t="s">
        <v>705</v>
      </c>
      <c r="I533" s="3" t="s">
        <v>708</v>
      </c>
      <c r="J533" s="3" t="s">
        <v>714</v>
      </c>
      <c r="K533" s="3" t="s">
        <v>730</v>
      </c>
      <c r="L533" s="3" t="s">
        <v>1264</v>
      </c>
      <c r="M533" s="3">
        <v>116.97</v>
      </c>
      <c r="N533" s="3">
        <v>140.82</v>
      </c>
      <c r="O533" s="3">
        <v>0.122</v>
      </c>
      <c r="P533" s="3">
        <v>5</v>
      </c>
      <c r="Q533" s="3">
        <v>618.19979999999987</v>
      </c>
      <c r="R533" s="3">
        <f t="shared" si="40"/>
        <v>584.85</v>
      </c>
      <c r="S533" s="3">
        <v>33.349799999999846</v>
      </c>
      <c r="T533" s="3">
        <f t="shared" si="41"/>
        <v>5.3946636669891926E-2</v>
      </c>
      <c r="U533" s="3" t="str">
        <f t="shared" si="42"/>
        <v>Mar-2025</v>
      </c>
      <c r="AB533" s="3">
        <f t="shared" si="43"/>
        <v>584.85</v>
      </c>
      <c r="AC533" s="3">
        <f t="shared" si="44"/>
        <v>618.19979999999987</v>
      </c>
    </row>
    <row r="534" spans="1:29" x14ac:dyDescent="0.35">
      <c r="A534" s="3" t="s">
        <v>546</v>
      </c>
      <c r="B534" s="4">
        <v>45769</v>
      </c>
      <c r="C534" s="4">
        <v>45789</v>
      </c>
      <c r="D534" s="5">
        <v>20</v>
      </c>
      <c r="E534" s="3" t="s">
        <v>649</v>
      </c>
      <c r="F534" s="3" t="s">
        <v>657</v>
      </c>
      <c r="G534" s="3" t="s">
        <v>679</v>
      </c>
      <c r="H534" s="3" t="s">
        <v>706</v>
      </c>
      <c r="I534" s="3" t="s">
        <v>709</v>
      </c>
      <c r="J534" s="3" t="s">
        <v>723</v>
      </c>
      <c r="K534" s="3" t="s">
        <v>732</v>
      </c>
      <c r="L534" s="3" t="s">
        <v>1265</v>
      </c>
      <c r="M534" s="3">
        <v>59.51</v>
      </c>
      <c r="N534" s="3">
        <v>67.040000000000006</v>
      </c>
      <c r="O534" s="3">
        <v>0.114</v>
      </c>
      <c r="P534" s="3">
        <v>9</v>
      </c>
      <c r="Q534" s="3">
        <v>534.57695999999999</v>
      </c>
      <c r="R534" s="3">
        <f t="shared" si="40"/>
        <v>535.59</v>
      </c>
      <c r="S534" s="3">
        <v>1.0130400000000463</v>
      </c>
      <c r="T534" s="3">
        <f t="shared" si="41"/>
        <v>1.8950311663264469E-3</v>
      </c>
      <c r="U534" s="3" t="str">
        <f t="shared" si="42"/>
        <v>Apr-2025</v>
      </c>
      <c r="AB534" s="3">
        <f t="shared" si="43"/>
        <v>535.59</v>
      </c>
      <c r="AC534" s="3">
        <f t="shared" si="44"/>
        <v>534.57695999999999</v>
      </c>
    </row>
    <row r="535" spans="1:29" x14ac:dyDescent="0.35">
      <c r="A535" s="3" t="s">
        <v>547</v>
      </c>
      <c r="B535" s="4">
        <v>45155</v>
      </c>
      <c r="C535" s="4">
        <v>45172</v>
      </c>
      <c r="D535" s="5">
        <v>17</v>
      </c>
      <c r="E535" s="3" t="s">
        <v>646</v>
      </c>
      <c r="F535" s="3" t="s">
        <v>661</v>
      </c>
      <c r="G535" s="3" t="s">
        <v>687</v>
      </c>
      <c r="H535" s="3" t="s">
        <v>706</v>
      </c>
      <c r="I535" s="3" t="s">
        <v>707</v>
      </c>
      <c r="J535" s="3" t="s">
        <v>720</v>
      </c>
      <c r="K535" s="3" t="s">
        <v>730</v>
      </c>
      <c r="L535" s="3" t="s">
        <v>1266</v>
      </c>
      <c r="M535" s="3">
        <v>676.37</v>
      </c>
      <c r="N535" s="3">
        <v>1276.67</v>
      </c>
      <c r="O535" s="3">
        <v>6.6000000000000003E-2</v>
      </c>
      <c r="P535" s="3">
        <v>10</v>
      </c>
      <c r="Q535" s="3">
        <v>11924.0978</v>
      </c>
      <c r="R535" s="3">
        <f t="shared" si="40"/>
        <v>6763.7</v>
      </c>
      <c r="S535" s="3">
        <v>5160.3977999999997</v>
      </c>
      <c r="T535" s="3">
        <f t="shared" si="41"/>
        <v>0.4327705027712872</v>
      </c>
      <c r="U535" s="3" t="str">
        <f t="shared" si="42"/>
        <v>Aug-2023</v>
      </c>
      <c r="AB535" s="3">
        <f t="shared" si="43"/>
        <v>6763.7</v>
      </c>
      <c r="AC535" s="3">
        <f t="shared" si="44"/>
        <v>11924.0978</v>
      </c>
    </row>
    <row r="536" spans="1:29" x14ac:dyDescent="0.35">
      <c r="A536" s="3" t="s">
        <v>548</v>
      </c>
      <c r="B536" s="4">
        <v>45832</v>
      </c>
      <c r="C536" s="4">
        <v>45852</v>
      </c>
      <c r="D536" s="5">
        <v>20</v>
      </c>
      <c r="E536" s="3" t="s">
        <v>646</v>
      </c>
      <c r="F536" s="3" t="s">
        <v>661</v>
      </c>
      <c r="G536" s="3" t="s">
        <v>682</v>
      </c>
      <c r="H536" s="3" t="s">
        <v>706</v>
      </c>
      <c r="I536" s="3" t="s">
        <v>709</v>
      </c>
      <c r="J536" s="3" t="s">
        <v>713</v>
      </c>
      <c r="K536" s="3" t="s">
        <v>731</v>
      </c>
      <c r="L536" s="3" t="s">
        <v>1267</v>
      </c>
      <c r="M536" s="3">
        <v>1151.06</v>
      </c>
      <c r="N536" s="3">
        <v>2821.36</v>
      </c>
      <c r="O536" s="3">
        <v>0.248</v>
      </c>
      <c r="P536" s="3">
        <v>20</v>
      </c>
      <c r="Q536" s="3">
        <v>42433.254400000005</v>
      </c>
      <c r="R536" s="3">
        <f t="shared" si="40"/>
        <v>23021.199999999997</v>
      </c>
      <c r="S536" s="3">
        <v>19412.054400000008</v>
      </c>
      <c r="T536" s="3">
        <f t="shared" si="41"/>
        <v>0.45747267501594235</v>
      </c>
      <c r="U536" s="3" t="str">
        <f t="shared" si="42"/>
        <v>Jun-2025</v>
      </c>
      <c r="AB536" s="3">
        <f t="shared" si="43"/>
        <v>23021.199999999997</v>
      </c>
      <c r="AC536" s="3">
        <f t="shared" si="44"/>
        <v>45141.760000000009</v>
      </c>
    </row>
    <row r="537" spans="1:29" x14ac:dyDescent="0.35">
      <c r="A537" s="3" t="s">
        <v>549</v>
      </c>
      <c r="B537" s="4">
        <v>45667</v>
      </c>
      <c r="C537" s="4">
        <v>45694</v>
      </c>
      <c r="D537" s="5">
        <v>27</v>
      </c>
      <c r="E537" s="3" t="s">
        <v>648</v>
      </c>
      <c r="F537" s="3" t="s">
        <v>655</v>
      </c>
      <c r="G537" s="3" t="s">
        <v>672</v>
      </c>
      <c r="H537" s="3" t="s">
        <v>703</v>
      </c>
      <c r="I537" s="3" t="s">
        <v>707</v>
      </c>
      <c r="J537" s="3" t="s">
        <v>717</v>
      </c>
      <c r="K537" s="3" t="s">
        <v>731</v>
      </c>
      <c r="L537" s="3" t="s">
        <v>1268</v>
      </c>
      <c r="M537" s="3">
        <v>725.62</v>
      </c>
      <c r="N537" s="3">
        <v>1559.19</v>
      </c>
      <c r="O537" s="3">
        <v>0.19</v>
      </c>
      <c r="P537" s="3">
        <v>12</v>
      </c>
      <c r="Q537" s="3">
        <v>15155.326800000001</v>
      </c>
      <c r="R537" s="3">
        <f t="shared" si="40"/>
        <v>8707.44</v>
      </c>
      <c r="S537" s="3">
        <v>6447.8868000000002</v>
      </c>
      <c r="T537" s="3">
        <f t="shared" si="41"/>
        <v>0.42545349797405885</v>
      </c>
      <c r="U537" s="3" t="str">
        <f t="shared" si="42"/>
        <v>Jan-2025</v>
      </c>
      <c r="AB537" s="3">
        <f t="shared" si="43"/>
        <v>8707.44</v>
      </c>
      <c r="AC537" s="3">
        <f t="shared" si="44"/>
        <v>15155.326800000001</v>
      </c>
    </row>
    <row r="538" spans="1:29" x14ac:dyDescent="0.35">
      <c r="A538" s="3" t="s">
        <v>550</v>
      </c>
      <c r="B538" s="4">
        <v>45108</v>
      </c>
      <c r="C538" s="4">
        <v>45118</v>
      </c>
      <c r="D538" s="5">
        <v>10</v>
      </c>
      <c r="E538" s="3" t="s">
        <v>649</v>
      </c>
      <c r="F538" s="3" t="s">
        <v>657</v>
      </c>
      <c r="G538" s="3" t="s">
        <v>690</v>
      </c>
      <c r="H538" s="3" t="s">
        <v>701</v>
      </c>
      <c r="I538" s="3" t="s">
        <v>711</v>
      </c>
      <c r="J538" s="3" t="s">
        <v>721</v>
      </c>
      <c r="K538" s="3" t="s">
        <v>729</v>
      </c>
      <c r="L538" s="3" t="s">
        <v>1269</v>
      </c>
      <c r="M538" s="3">
        <v>479.5</v>
      </c>
      <c r="N538" s="3">
        <v>656.66</v>
      </c>
      <c r="O538" s="3">
        <v>0.14899999999999999</v>
      </c>
      <c r="P538" s="3">
        <v>14</v>
      </c>
      <c r="Q538" s="3">
        <v>7823.4472399999995</v>
      </c>
      <c r="R538" s="3">
        <f t="shared" si="40"/>
        <v>6713</v>
      </c>
      <c r="S538" s="3">
        <v>1110.4472399999995</v>
      </c>
      <c r="T538" s="3">
        <f t="shared" si="41"/>
        <v>0.14193835606412289</v>
      </c>
      <c r="U538" s="3" t="str">
        <f t="shared" si="42"/>
        <v>Jul-2023</v>
      </c>
      <c r="AB538" s="3">
        <f t="shared" si="43"/>
        <v>6713</v>
      </c>
      <c r="AC538" s="3">
        <f t="shared" si="44"/>
        <v>7823.4472399999995</v>
      </c>
    </row>
    <row r="539" spans="1:29" x14ac:dyDescent="0.35">
      <c r="A539" s="3" t="s">
        <v>551</v>
      </c>
      <c r="B539" s="4">
        <v>45520</v>
      </c>
      <c r="C539" s="4">
        <v>45530</v>
      </c>
      <c r="D539" s="5">
        <v>10</v>
      </c>
      <c r="E539" s="3" t="s">
        <v>648</v>
      </c>
      <c r="F539" s="3" t="s">
        <v>660</v>
      </c>
      <c r="G539" s="3" t="s">
        <v>677</v>
      </c>
      <c r="H539" s="3" t="s">
        <v>701</v>
      </c>
      <c r="I539" s="3" t="s">
        <v>710</v>
      </c>
      <c r="J539" s="3" t="s">
        <v>716</v>
      </c>
      <c r="K539" s="3" t="s">
        <v>731</v>
      </c>
      <c r="L539" s="3" t="s">
        <v>1121</v>
      </c>
      <c r="M539" s="3">
        <v>1291.7</v>
      </c>
      <c r="N539" s="3">
        <v>2657.84</v>
      </c>
      <c r="O539" s="3">
        <v>8.6999999999999994E-2</v>
      </c>
      <c r="P539" s="3">
        <v>21</v>
      </c>
      <c r="Q539" s="3">
        <v>50958.766320000002</v>
      </c>
      <c r="R539" s="3">
        <f t="shared" si="40"/>
        <v>27125.7</v>
      </c>
      <c r="S539" s="3">
        <v>23833.066320000002</v>
      </c>
      <c r="T539" s="3">
        <f t="shared" si="41"/>
        <v>0.46769315745083367</v>
      </c>
      <c r="U539" s="3" t="str">
        <f t="shared" si="42"/>
        <v>Aug-2024</v>
      </c>
      <c r="AB539" s="3">
        <f t="shared" si="43"/>
        <v>27125.7</v>
      </c>
      <c r="AC539" s="3">
        <f t="shared" si="44"/>
        <v>50958.766320000002</v>
      </c>
    </row>
    <row r="540" spans="1:29" x14ac:dyDescent="0.35">
      <c r="A540" s="3" t="s">
        <v>552</v>
      </c>
      <c r="B540" s="4">
        <v>45114</v>
      </c>
      <c r="C540" s="4">
        <v>45120</v>
      </c>
      <c r="D540" s="5">
        <v>6</v>
      </c>
      <c r="E540" s="3" t="s">
        <v>646</v>
      </c>
      <c r="F540" s="3" t="s">
        <v>661</v>
      </c>
      <c r="G540" s="3" t="s">
        <v>695</v>
      </c>
      <c r="H540" s="3" t="s">
        <v>705</v>
      </c>
      <c r="I540" s="3" t="s">
        <v>709</v>
      </c>
      <c r="J540" s="3" t="s">
        <v>717</v>
      </c>
      <c r="K540" s="3" t="s">
        <v>733</v>
      </c>
      <c r="L540" s="3" t="s">
        <v>1270</v>
      </c>
      <c r="M540" s="3">
        <v>612.59</v>
      </c>
      <c r="N540" s="3">
        <v>1424.74</v>
      </c>
      <c r="O540" s="3">
        <v>4.3999999999999997E-2</v>
      </c>
      <c r="P540" s="3">
        <v>15</v>
      </c>
      <c r="Q540" s="3">
        <v>20430.771599999996</v>
      </c>
      <c r="R540" s="3">
        <f t="shared" si="40"/>
        <v>9188.85</v>
      </c>
      <c r="S540" s="3">
        <v>11241.921599999996</v>
      </c>
      <c r="T540" s="3">
        <f t="shared" si="41"/>
        <v>0.55024459281802152</v>
      </c>
      <c r="U540" s="3" t="str">
        <f t="shared" si="42"/>
        <v>Jul-2023</v>
      </c>
      <c r="AB540" s="3">
        <f t="shared" si="43"/>
        <v>9188.85</v>
      </c>
      <c r="AC540" s="3">
        <f t="shared" si="44"/>
        <v>20430.771599999996</v>
      </c>
    </row>
    <row r="541" spans="1:29" x14ac:dyDescent="0.35">
      <c r="A541" s="3" t="s">
        <v>553</v>
      </c>
      <c r="B541" s="4">
        <v>45288</v>
      </c>
      <c r="C541" s="4">
        <v>45292</v>
      </c>
      <c r="D541" s="5">
        <v>4</v>
      </c>
      <c r="E541" s="3" t="s">
        <v>646</v>
      </c>
      <c r="F541" s="3" t="s">
        <v>661</v>
      </c>
      <c r="G541" s="3" t="s">
        <v>695</v>
      </c>
      <c r="H541" s="3" t="s">
        <v>702</v>
      </c>
      <c r="I541" s="3" t="s">
        <v>710</v>
      </c>
      <c r="J541" s="3" t="s">
        <v>720</v>
      </c>
      <c r="K541" s="3" t="s">
        <v>728</v>
      </c>
      <c r="L541" s="3" t="s">
        <v>1271</v>
      </c>
      <c r="M541" s="3">
        <v>1141.8</v>
      </c>
      <c r="N541" s="3">
        <v>2318.7399999999998</v>
      </c>
      <c r="O541" s="3">
        <v>0.107</v>
      </c>
      <c r="P541" s="3">
        <v>32</v>
      </c>
      <c r="Q541" s="3">
        <v>66260.314239999992</v>
      </c>
      <c r="R541" s="3">
        <f t="shared" si="40"/>
        <v>36537.599999999999</v>
      </c>
      <c r="S541" s="3">
        <v>29722.714239999994</v>
      </c>
      <c r="T541" s="3">
        <f t="shared" si="41"/>
        <v>0.44857490612468304</v>
      </c>
      <c r="U541" s="3" t="str">
        <f t="shared" si="42"/>
        <v>Dec-2023</v>
      </c>
      <c r="AB541" s="3">
        <f t="shared" si="43"/>
        <v>36537.599999999999</v>
      </c>
      <c r="AC541" s="3">
        <f t="shared" si="44"/>
        <v>66260.314239999992</v>
      </c>
    </row>
    <row r="542" spans="1:29" x14ac:dyDescent="0.35">
      <c r="A542" s="3" t="s">
        <v>554</v>
      </c>
      <c r="B542" s="4">
        <v>44952</v>
      </c>
      <c r="C542" s="4">
        <v>44972</v>
      </c>
      <c r="D542" s="5">
        <v>20</v>
      </c>
      <c r="E542" s="3" t="s">
        <v>649</v>
      </c>
      <c r="F542" s="3" t="s">
        <v>656</v>
      </c>
      <c r="G542" s="3" t="s">
        <v>671</v>
      </c>
      <c r="H542" s="3" t="s">
        <v>705</v>
      </c>
      <c r="I542" s="3" t="s">
        <v>708</v>
      </c>
      <c r="J542" s="3" t="s">
        <v>719</v>
      </c>
      <c r="K542" s="3" t="s">
        <v>729</v>
      </c>
      <c r="L542" s="3" t="s">
        <v>1272</v>
      </c>
      <c r="M542" s="3">
        <v>492.62</v>
      </c>
      <c r="N542" s="3">
        <v>366.7</v>
      </c>
      <c r="O542" s="3">
        <v>8.8999999999999996E-2</v>
      </c>
      <c r="P542" s="3">
        <v>10</v>
      </c>
      <c r="Q542" s="3">
        <v>3340.6370000000002</v>
      </c>
      <c r="R542" s="3">
        <f t="shared" si="40"/>
        <v>4926.2</v>
      </c>
      <c r="S542" s="3">
        <v>1585.5629999999996</v>
      </c>
      <c r="T542" s="3">
        <f t="shared" si="41"/>
        <v>0.47462894052840809</v>
      </c>
      <c r="U542" s="3" t="str">
        <f t="shared" si="42"/>
        <v>Jan-2023</v>
      </c>
      <c r="AB542" s="3">
        <f t="shared" si="43"/>
        <v>4926.2</v>
      </c>
      <c r="AC542" s="3">
        <f t="shared" si="44"/>
        <v>3340.6370000000002</v>
      </c>
    </row>
    <row r="543" spans="1:29" x14ac:dyDescent="0.35">
      <c r="A543" s="3" t="s">
        <v>555</v>
      </c>
      <c r="B543" s="4">
        <v>45115</v>
      </c>
      <c r="C543" s="4">
        <v>45116</v>
      </c>
      <c r="D543" s="5">
        <v>1</v>
      </c>
      <c r="E543" s="3" t="s">
        <v>646</v>
      </c>
      <c r="F543" s="3" t="s">
        <v>650</v>
      </c>
      <c r="G543" s="3" t="s">
        <v>664</v>
      </c>
      <c r="H543" s="3" t="s">
        <v>704</v>
      </c>
      <c r="I543" s="3" t="s">
        <v>708</v>
      </c>
      <c r="J543" s="3" t="s">
        <v>726</v>
      </c>
      <c r="K543" s="3" t="s">
        <v>731</v>
      </c>
      <c r="L543" s="3" t="s">
        <v>1273</v>
      </c>
      <c r="M543" s="3">
        <v>1258.72</v>
      </c>
      <c r="N543" s="3">
        <v>2797.41</v>
      </c>
      <c r="O543" s="3">
        <v>0</v>
      </c>
      <c r="P543" s="3">
        <v>7</v>
      </c>
      <c r="Q543" s="3">
        <v>19581.87</v>
      </c>
      <c r="R543" s="3">
        <f t="shared" si="40"/>
        <v>8811.0400000000009</v>
      </c>
      <c r="S543" s="3">
        <v>10770.829999999998</v>
      </c>
      <c r="T543" s="3">
        <f t="shared" si="41"/>
        <v>0.55004093071805704</v>
      </c>
      <c r="U543" s="3" t="str">
        <f t="shared" si="42"/>
        <v>Jul-2023</v>
      </c>
      <c r="AB543" s="3">
        <f t="shared" si="43"/>
        <v>8811.0400000000009</v>
      </c>
      <c r="AC543" s="3">
        <f t="shared" si="44"/>
        <v>19581.87</v>
      </c>
    </row>
    <row r="544" spans="1:29" x14ac:dyDescent="0.35">
      <c r="A544" s="3" t="s">
        <v>556</v>
      </c>
      <c r="B544" s="4">
        <v>45450</v>
      </c>
      <c r="C544" s="4">
        <v>45452</v>
      </c>
      <c r="D544" s="5">
        <v>2</v>
      </c>
      <c r="E544" s="3" t="s">
        <v>647</v>
      </c>
      <c r="F544" s="3" t="s">
        <v>659</v>
      </c>
      <c r="G544" s="3" t="s">
        <v>685</v>
      </c>
      <c r="H544" s="3" t="s">
        <v>701</v>
      </c>
      <c r="I544" s="3" t="s">
        <v>707</v>
      </c>
      <c r="J544" s="3" t="s">
        <v>719</v>
      </c>
      <c r="K544" s="3" t="s">
        <v>732</v>
      </c>
      <c r="L544" s="3" t="s">
        <v>1274</v>
      </c>
      <c r="M544" s="3">
        <v>1370.28</v>
      </c>
      <c r="N544" s="3">
        <v>2209.66</v>
      </c>
      <c r="O544" s="3">
        <v>0.13300000000000001</v>
      </c>
      <c r="P544" s="3">
        <v>16</v>
      </c>
      <c r="Q544" s="3">
        <v>30652.403519999996</v>
      </c>
      <c r="R544" s="3">
        <f t="shared" si="40"/>
        <v>21924.48</v>
      </c>
      <c r="S544" s="3">
        <v>8727.9235199999966</v>
      </c>
      <c r="T544" s="3">
        <f t="shared" si="41"/>
        <v>0.28473863442079589</v>
      </c>
      <c r="U544" s="3" t="str">
        <f t="shared" si="42"/>
        <v>Jun-2024</v>
      </c>
      <c r="AB544" s="3">
        <f t="shared" si="43"/>
        <v>21924.48</v>
      </c>
      <c r="AC544" s="3">
        <f t="shared" si="44"/>
        <v>30652.403519999996</v>
      </c>
    </row>
    <row r="545" spans="1:29" x14ac:dyDescent="0.35">
      <c r="A545" s="3" t="s">
        <v>557</v>
      </c>
      <c r="B545" s="4">
        <v>44968</v>
      </c>
      <c r="C545" s="4">
        <v>44969</v>
      </c>
      <c r="D545" s="5">
        <v>1</v>
      </c>
      <c r="E545" s="3" t="s">
        <v>646</v>
      </c>
      <c r="F545" s="3" t="s">
        <v>651</v>
      </c>
      <c r="G545" s="3" t="s">
        <v>663</v>
      </c>
      <c r="H545" s="3" t="s">
        <v>703</v>
      </c>
      <c r="I545" s="3" t="s">
        <v>711</v>
      </c>
      <c r="J545" s="3" t="s">
        <v>726</v>
      </c>
      <c r="K545" s="3" t="s">
        <v>733</v>
      </c>
      <c r="L545" s="3" t="s">
        <v>1275</v>
      </c>
      <c r="M545" s="3">
        <v>944.61</v>
      </c>
      <c r="N545" s="3">
        <v>839.04</v>
      </c>
      <c r="O545" s="3">
        <v>5.8999999999999997E-2</v>
      </c>
      <c r="P545" s="3">
        <v>6</v>
      </c>
      <c r="Q545" s="3">
        <v>4737.2198399999997</v>
      </c>
      <c r="R545" s="3">
        <f t="shared" si="40"/>
        <v>5667.66</v>
      </c>
      <c r="S545" s="3">
        <v>930.44016000000011</v>
      </c>
      <c r="T545" s="3">
        <f t="shared" si="41"/>
        <v>0.19641059343363726</v>
      </c>
      <c r="U545" s="3" t="str">
        <f t="shared" si="42"/>
        <v>Feb-2023</v>
      </c>
      <c r="AB545" s="3">
        <f t="shared" si="43"/>
        <v>5667.66</v>
      </c>
      <c r="AC545" s="3">
        <f t="shared" si="44"/>
        <v>4737.2198399999997</v>
      </c>
    </row>
    <row r="546" spans="1:29" x14ac:dyDescent="0.35">
      <c r="A546" s="3" t="s">
        <v>558</v>
      </c>
      <c r="B546" s="4">
        <v>45108</v>
      </c>
      <c r="C546" s="4">
        <v>45115</v>
      </c>
      <c r="D546" s="5">
        <v>7</v>
      </c>
      <c r="E546" s="3" t="s">
        <v>649</v>
      </c>
      <c r="F546" s="3" t="s">
        <v>656</v>
      </c>
      <c r="G546" s="3" t="s">
        <v>698</v>
      </c>
      <c r="H546" s="3" t="s">
        <v>705</v>
      </c>
      <c r="I546" s="3" t="s">
        <v>710</v>
      </c>
      <c r="J546" s="3" t="s">
        <v>725</v>
      </c>
      <c r="K546" s="3" t="s">
        <v>731</v>
      </c>
      <c r="L546" s="3" t="s">
        <v>1276</v>
      </c>
      <c r="M546" s="3">
        <v>460.21</v>
      </c>
      <c r="N546" s="3">
        <v>1139.1500000000001</v>
      </c>
      <c r="O546" s="3">
        <v>0.115</v>
      </c>
      <c r="P546" s="3">
        <v>14</v>
      </c>
      <c r="Q546" s="3">
        <v>14114.068500000001</v>
      </c>
      <c r="R546" s="3">
        <f t="shared" si="40"/>
        <v>6442.94</v>
      </c>
      <c r="S546" s="3">
        <v>7671.1285000000016</v>
      </c>
      <c r="T546" s="3">
        <f t="shared" si="41"/>
        <v>0.54350937151821255</v>
      </c>
      <c r="U546" s="3" t="str">
        <f t="shared" si="42"/>
        <v>Jul-2023</v>
      </c>
      <c r="AB546" s="3">
        <f t="shared" si="43"/>
        <v>6442.94</v>
      </c>
      <c r="AC546" s="3">
        <f t="shared" si="44"/>
        <v>14114.068500000001</v>
      </c>
    </row>
    <row r="547" spans="1:29" x14ac:dyDescent="0.35">
      <c r="A547" s="3" t="s">
        <v>559</v>
      </c>
      <c r="B547" s="4">
        <v>45889</v>
      </c>
      <c r="C547" s="4">
        <v>45895</v>
      </c>
      <c r="D547" s="5">
        <v>6</v>
      </c>
      <c r="E547" s="3" t="s">
        <v>648</v>
      </c>
      <c r="F547" s="3" t="s">
        <v>660</v>
      </c>
      <c r="G547" s="3" t="s">
        <v>700</v>
      </c>
      <c r="H547" s="3" t="s">
        <v>701</v>
      </c>
      <c r="I547" s="3" t="s">
        <v>707</v>
      </c>
      <c r="J547" s="3" t="s">
        <v>724</v>
      </c>
      <c r="K547" s="3" t="s">
        <v>729</v>
      </c>
      <c r="L547" s="3" t="s">
        <v>1277</v>
      </c>
      <c r="M547" s="3">
        <v>1304.95</v>
      </c>
      <c r="N547" s="3">
        <v>1712.03</v>
      </c>
      <c r="O547" s="3">
        <v>0.21199999999999999</v>
      </c>
      <c r="P547" s="3">
        <v>8</v>
      </c>
      <c r="Q547" s="3">
        <v>10792.637119999999</v>
      </c>
      <c r="R547" s="3">
        <f t="shared" si="40"/>
        <v>10439.6</v>
      </c>
      <c r="S547" s="3">
        <v>353.03711999999905</v>
      </c>
      <c r="T547" s="3">
        <f t="shared" si="41"/>
        <v>3.2710922833287949E-2</v>
      </c>
      <c r="U547" s="3" t="str">
        <f t="shared" si="42"/>
        <v>Aug-2025</v>
      </c>
      <c r="AB547" s="3">
        <f t="shared" si="43"/>
        <v>10439.6</v>
      </c>
      <c r="AC547" s="3">
        <f t="shared" si="44"/>
        <v>10956.992</v>
      </c>
    </row>
    <row r="548" spans="1:29" x14ac:dyDescent="0.35">
      <c r="A548" s="3" t="s">
        <v>560</v>
      </c>
      <c r="B548" s="4">
        <v>45355</v>
      </c>
      <c r="C548" s="4">
        <v>45367</v>
      </c>
      <c r="D548" s="5">
        <v>12</v>
      </c>
      <c r="E548" s="3" t="s">
        <v>646</v>
      </c>
      <c r="F548" s="3" t="s">
        <v>661</v>
      </c>
      <c r="G548" s="3" t="s">
        <v>682</v>
      </c>
      <c r="H548" s="3" t="s">
        <v>706</v>
      </c>
      <c r="I548" s="3" t="s">
        <v>710</v>
      </c>
      <c r="J548" s="3" t="s">
        <v>724</v>
      </c>
      <c r="K548" s="3" t="s">
        <v>732</v>
      </c>
      <c r="L548" s="3" t="s">
        <v>1278</v>
      </c>
      <c r="M548" s="3">
        <v>441.08</v>
      </c>
      <c r="N548" s="3">
        <v>1054.29</v>
      </c>
      <c r="O548" s="3">
        <v>0.23699999999999999</v>
      </c>
      <c r="P548" s="3">
        <v>6</v>
      </c>
      <c r="Q548" s="3">
        <v>4826.5396199999996</v>
      </c>
      <c r="R548" s="3">
        <f t="shared" si="40"/>
        <v>2646.48</v>
      </c>
      <c r="S548" s="3">
        <v>2180.0596199999995</v>
      </c>
      <c r="T548" s="3">
        <f t="shared" si="41"/>
        <v>0.45168169985932899</v>
      </c>
      <c r="U548" s="3" t="str">
        <f t="shared" si="42"/>
        <v>Mar-2024</v>
      </c>
      <c r="AB548" s="3">
        <f t="shared" si="43"/>
        <v>2646.48</v>
      </c>
      <c r="AC548" s="3">
        <f t="shared" si="44"/>
        <v>5060.5920000000006</v>
      </c>
    </row>
    <row r="549" spans="1:29" x14ac:dyDescent="0.35">
      <c r="A549" s="3" t="s">
        <v>561</v>
      </c>
      <c r="B549" s="4">
        <v>45177</v>
      </c>
      <c r="C549" s="4">
        <v>45201</v>
      </c>
      <c r="D549" s="5">
        <v>24</v>
      </c>
      <c r="E549" s="3" t="s">
        <v>648</v>
      </c>
      <c r="F549" s="3" t="s">
        <v>653</v>
      </c>
      <c r="G549" s="3" t="s">
        <v>667</v>
      </c>
      <c r="H549" s="3" t="s">
        <v>702</v>
      </c>
      <c r="I549" s="3" t="s">
        <v>711</v>
      </c>
      <c r="J549" s="3" t="s">
        <v>720</v>
      </c>
      <c r="K549" s="3" t="s">
        <v>733</v>
      </c>
      <c r="L549" s="3" t="s">
        <v>1279</v>
      </c>
      <c r="M549" s="3">
        <v>1299.03</v>
      </c>
      <c r="N549" s="3">
        <v>2451.2199999999998</v>
      </c>
      <c r="O549" s="3">
        <v>0.20799999999999999</v>
      </c>
      <c r="P549" s="3">
        <v>8</v>
      </c>
      <c r="Q549" s="3">
        <v>15530.929919999999</v>
      </c>
      <c r="R549" s="3">
        <f t="shared" si="40"/>
        <v>10392.24</v>
      </c>
      <c r="S549" s="3">
        <v>5138.6899199999989</v>
      </c>
      <c r="T549" s="3">
        <f t="shared" si="41"/>
        <v>0.3308681416032041</v>
      </c>
      <c r="U549" s="3" t="str">
        <f t="shared" si="42"/>
        <v>Sep-2023</v>
      </c>
      <c r="AB549" s="3">
        <f t="shared" si="43"/>
        <v>10392.24</v>
      </c>
      <c r="AC549" s="3">
        <f t="shared" si="44"/>
        <v>15687.807999999999</v>
      </c>
    </row>
    <row r="550" spans="1:29" x14ac:dyDescent="0.35">
      <c r="A550" s="3" t="s">
        <v>562</v>
      </c>
      <c r="B550" s="4">
        <v>44985</v>
      </c>
      <c r="C550" s="4">
        <v>44991</v>
      </c>
      <c r="D550" s="5">
        <v>6</v>
      </c>
      <c r="E550" s="3" t="s">
        <v>649</v>
      </c>
      <c r="F550" s="3" t="s">
        <v>656</v>
      </c>
      <c r="G550" s="3" t="s">
        <v>698</v>
      </c>
      <c r="H550" s="3" t="s">
        <v>705</v>
      </c>
      <c r="I550" s="3" t="s">
        <v>709</v>
      </c>
      <c r="J550" s="3" t="s">
        <v>726</v>
      </c>
      <c r="K550" s="3" t="s">
        <v>728</v>
      </c>
      <c r="L550" s="3" t="s">
        <v>1280</v>
      </c>
      <c r="M550" s="3">
        <v>880.02</v>
      </c>
      <c r="N550" s="3">
        <v>1251.21</v>
      </c>
      <c r="O550" s="3">
        <v>0.123</v>
      </c>
      <c r="P550" s="3">
        <v>29</v>
      </c>
      <c r="Q550" s="3">
        <v>31822.023930000003</v>
      </c>
      <c r="R550" s="3">
        <f t="shared" si="40"/>
        <v>25520.579999999998</v>
      </c>
      <c r="S550" s="3">
        <v>6301.4439300000049</v>
      </c>
      <c r="T550" s="3">
        <f t="shared" si="41"/>
        <v>0.19802146915172672</v>
      </c>
      <c r="U550" s="3" t="str">
        <f t="shared" si="42"/>
        <v>Feb-2023</v>
      </c>
      <c r="AB550" s="3">
        <f t="shared" si="43"/>
        <v>25520.579999999998</v>
      </c>
      <c r="AC550" s="3">
        <f t="shared" si="44"/>
        <v>31822.023930000003</v>
      </c>
    </row>
    <row r="551" spans="1:29" x14ac:dyDescent="0.35">
      <c r="A551" s="3" t="s">
        <v>563</v>
      </c>
      <c r="B551" s="4">
        <v>45486</v>
      </c>
      <c r="C551" s="4">
        <v>45507</v>
      </c>
      <c r="D551" s="5">
        <v>21</v>
      </c>
      <c r="E551" s="3" t="s">
        <v>648</v>
      </c>
      <c r="F551" s="3" t="s">
        <v>655</v>
      </c>
      <c r="G551" s="3" t="s">
        <v>692</v>
      </c>
      <c r="H551" s="3" t="s">
        <v>701</v>
      </c>
      <c r="I551" s="3" t="s">
        <v>709</v>
      </c>
      <c r="J551" s="3" t="s">
        <v>724</v>
      </c>
      <c r="K551" s="3" t="s">
        <v>732</v>
      </c>
      <c r="L551" s="3" t="s">
        <v>1281</v>
      </c>
      <c r="M551" s="3">
        <v>702.98</v>
      </c>
      <c r="N551" s="3">
        <v>1104.8</v>
      </c>
      <c r="O551" s="3">
        <v>0.17499999999999999</v>
      </c>
      <c r="P551" s="3">
        <v>12</v>
      </c>
      <c r="Q551" s="3">
        <v>10937.519999999999</v>
      </c>
      <c r="R551" s="3">
        <f t="shared" si="40"/>
        <v>8435.76</v>
      </c>
      <c r="S551" s="3">
        <v>2501.7599999999984</v>
      </c>
      <c r="T551" s="3">
        <f t="shared" si="41"/>
        <v>0.22873192460448061</v>
      </c>
      <c r="U551" s="3" t="str">
        <f t="shared" si="42"/>
        <v>Jul-2024</v>
      </c>
      <c r="AB551" s="3">
        <f t="shared" si="43"/>
        <v>8435.76</v>
      </c>
      <c r="AC551" s="3">
        <f t="shared" si="44"/>
        <v>10937.519999999999</v>
      </c>
    </row>
    <row r="552" spans="1:29" x14ac:dyDescent="0.35">
      <c r="A552" s="3" t="s">
        <v>564</v>
      </c>
      <c r="B552" s="4">
        <v>45633</v>
      </c>
      <c r="C552" s="4">
        <v>45652</v>
      </c>
      <c r="D552" s="5">
        <v>19</v>
      </c>
      <c r="E552" s="3" t="s">
        <v>649</v>
      </c>
      <c r="F552" s="3" t="s">
        <v>658</v>
      </c>
      <c r="G552" s="3" t="s">
        <v>683</v>
      </c>
      <c r="H552" s="3" t="s">
        <v>706</v>
      </c>
      <c r="I552" s="3" t="s">
        <v>708</v>
      </c>
      <c r="J552" s="3" t="s">
        <v>726</v>
      </c>
      <c r="K552" s="3" t="s">
        <v>729</v>
      </c>
      <c r="L552" s="3" t="s">
        <v>1282</v>
      </c>
      <c r="M552" s="3">
        <v>1035.24</v>
      </c>
      <c r="N552" s="3">
        <v>2383.41</v>
      </c>
      <c r="O552" s="3">
        <v>0.17</v>
      </c>
      <c r="P552" s="3">
        <v>15</v>
      </c>
      <c r="Q552" s="3">
        <v>29673.454499999993</v>
      </c>
      <c r="R552" s="3">
        <f t="shared" si="40"/>
        <v>15528.6</v>
      </c>
      <c r="S552" s="3">
        <v>14144.854499999992</v>
      </c>
      <c r="T552" s="3">
        <f t="shared" si="41"/>
        <v>0.47668378145860962</v>
      </c>
      <c r="U552" s="3" t="str">
        <f t="shared" si="42"/>
        <v>Dec-2024</v>
      </c>
      <c r="AB552" s="3">
        <f t="shared" si="43"/>
        <v>15528.6</v>
      </c>
      <c r="AC552" s="3">
        <f t="shared" si="44"/>
        <v>29673.454499999993</v>
      </c>
    </row>
    <row r="553" spans="1:29" x14ac:dyDescent="0.35">
      <c r="A553" s="3" t="s">
        <v>565</v>
      </c>
      <c r="B553" s="4">
        <v>45875</v>
      </c>
      <c r="C553" s="4">
        <v>45892</v>
      </c>
      <c r="D553" s="5">
        <v>17</v>
      </c>
      <c r="E553" s="3" t="s">
        <v>648</v>
      </c>
      <c r="F553" s="3" t="s">
        <v>655</v>
      </c>
      <c r="G553" s="3" t="s">
        <v>672</v>
      </c>
      <c r="H553" s="3" t="s">
        <v>704</v>
      </c>
      <c r="I553" s="3" t="s">
        <v>710</v>
      </c>
      <c r="J553" s="3" t="s">
        <v>720</v>
      </c>
      <c r="K553" s="3" t="s">
        <v>732</v>
      </c>
      <c r="L553" s="3" t="s">
        <v>1283</v>
      </c>
      <c r="M553" s="3">
        <v>86.64</v>
      </c>
      <c r="N553" s="3">
        <v>213.06</v>
      </c>
      <c r="O553" s="3">
        <v>0.21199999999999999</v>
      </c>
      <c r="P553" s="3">
        <v>11</v>
      </c>
      <c r="Q553" s="3">
        <v>1846.8040799999999</v>
      </c>
      <c r="R553" s="3">
        <f t="shared" si="40"/>
        <v>953.04</v>
      </c>
      <c r="S553" s="3">
        <v>893.76407999999992</v>
      </c>
      <c r="T553" s="3">
        <f t="shared" si="41"/>
        <v>0.48395175735154322</v>
      </c>
      <c r="U553" s="3" t="str">
        <f t="shared" si="42"/>
        <v>Aug-2025</v>
      </c>
      <c r="AB553" s="3">
        <f t="shared" si="43"/>
        <v>953.04</v>
      </c>
      <c r="AC553" s="3">
        <f t="shared" si="44"/>
        <v>1874.9279999999999</v>
      </c>
    </row>
    <row r="554" spans="1:29" x14ac:dyDescent="0.35">
      <c r="A554" s="3" t="s">
        <v>566</v>
      </c>
      <c r="B554" s="4">
        <v>44988</v>
      </c>
      <c r="C554" s="4">
        <v>45005</v>
      </c>
      <c r="D554" s="5">
        <v>17</v>
      </c>
      <c r="E554" s="3" t="s">
        <v>647</v>
      </c>
      <c r="F554" s="3" t="s">
        <v>652</v>
      </c>
      <c r="G554" s="3" t="s">
        <v>694</v>
      </c>
      <c r="H554" s="3" t="s">
        <v>705</v>
      </c>
      <c r="I554" s="3" t="s">
        <v>708</v>
      </c>
      <c r="J554" s="3" t="s">
        <v>726</v>
      </c>
      <c r="K554" s="3" t="s">
        <v>729</v>
      </c>
      <c r="L554" s="3" t="s">
        <v>1284</v>
      </c>
      <c r="M554" s="3">
        <v>1171.17</v>
      </c>
      <c r="N554" s="3">
        <v>2030.64</v>
      </c>
      <c r="O554" s="3">
        <v>0.157</v>
      </c>
      <c r="P554" s="3">
        <v>11</v>
      </c>
      <c r="Q554" s="3">
        <v>18830.12472</v>
      </c>
      <c r="R554" s="3">
        <f t="shared" si="40"/>
        <v>12882.87</v>
      </c>
      <c r="S554" s="3">
        <v>5947.254719999999</v>
      </c>
      <c r="T554" s="3">
        <f t="shared" si="41"/>
        <v>0.31583724528830415</v>
      </c>
      <c r="U554" s="3" t="str">
        <f t="shared" si="42"/>
        <v>Mar-2023</v>
      </c>
      <c r="AB554" s="3">
        <f t="shared" si="43"/>
        <v>12882.87</v>
      </c>
      <c r="AC554" s="3">
        <f t="shared" si="44"/>
        <v>18830.12472</v>
      </c>
    </row>
    <row r="555" spans="1:29" x14ac:dyDescent="0.35">
      <c r="A555" s="3" t="s">
        <v>567</v>
      </c>
      <c r="B555" s="4">
        <v>45704</v>
      </c>
      <c r="C555" s="4">
        <v>45733</v>
      </c>
      <c r="D555" s="5">
        <v>29</v>
      </c>
      <c r="E555" s="3" t="s">
        <v>649</v>
      </c>
      <c r="F555" s="3" t="s">
        <v>656</v>
      </c>
      <c r="G555" s="3" t="s">
        <v>684</v>
      </c>
      <c r="H555" s="3" t="s">
        <v>704</v>
      </c>
      <c r="I555" s="3" t="s">
        <v>707</v>
      </c>
      <c r="J555" s="3" t="s">
        <v>716</v>
      </c>
      <c r="K555" s="3" t="s">
        <v>733</v>
      </c>
      <c r="L555" s="3" t="s">
        <v>1285</v>
      </c>
      <c r="M555" s="3">
        <v>730.42</v>
      </c>
      <c r="N555" s="3">
        <v>956.7</v>
      </c>
      <c r="O555" s="3">
        <v>4.2000000000000003E-2</v>
      </c>
      <c r="P555" s="3">
        <v>22</v>
      </c>
      <c r="Q555" s="3">
        <v>20163.409200000002</v>
      </c>
      <c r="R555" s="3">
        <f t="shared" si="40"/>
        <v>16069.24</v>
      </c>
      <c r="S555" s="3">
        <v>4094.1692000000021</v>
      </c>
      <c r="T555" s="3">
        <f t="shared" si="41"/>
        <v>0.20304945256975698</v>
      </c>
      <c r="U555" s="3" t="str">
        <f t="shared" si="42"/>
        <v>Feb-2025</v>
      </c>
      <c r="AB555" s="3">
        <f t="shared" si="43"/>
        <v>16069.24</v>
      </c>
      <c r="AC555" s="3">
        <f t="shared" si="44"/>
        <v>20163.409200000002</v>
      </c>
    </row>
    <row r="556" spans="1:29" x14ac:dyDescent="0.35">
      <c r="A556" s="3" t="s">
        <v>568</v>
      </c>
      <c r="B556" s="4">
        <v>45703</v>
      </c>
      <c r="C556" s="4">
        <v>45717</v>
      </c>
      <c r="D556" s="5">
        <v>14</v>
      </c>
      <c r="E556" s="3" t="s">
        <v>646</v>
      </c>
      <c r="F556" s="3" t="s">
        <v>650</v>
      </c>
      <c r="G556" s="3" t="s">
        <v>675</v>
      </c>
      <c r="H556" s="3" t="s">
        <v>702</v>
      </c>
      <c r="I556" s="3" t="s">
        <v>711</v>
      </c>
      <c r="J556" s="3" t="s">
        <v>716</v>
      </c>
      <c r="K556" s="3" t="s">
        <v>733</v>
      </c>
      <c r="L556" s="3" t="s">
        <v>1286</v>
      </c>
      <c r="M556" s="3">
        <v>1162.8599999999999</v>
      </c>
      <c r="N556" s="3">
        <v>1447.68</v>
      </c>
      <c r="O556" s="3">
        <v>8.6999999999999994E-2</v>
      </c>
      <c r="P556" s="3">
        <v>12</v>
      </c>
      <c r="Q556" s="3">
        <v>15860.782080000001</v>
      </c>
      <c r="R556" s="3">
        <f t="shared" si="40"/>
        <v>13954.32</v>
      </c>
      <c r="S556" s="3">
        <v>1906.4620800000012</v>
      </c>
      <c r="T556" s="3">
        <f t="shared" si="41"/>
        <v>0.12019975247021369</v>
      </c>
      <c r="U556" s="3" t="str">
        <f t="shared" si="42"/>
        <v>Feb-2025</v>
      </c>
      <c r="AB556" s="3">
        <f t="shared" si="43"/>
        <v>13954.32</v>
      </c>
      <c r="AC556" s="3">
        <f t="shared" si="44"/>
        <v>15860.782080000001</v>
      </c>
    </row>
    <row r="557" spans="1:29" x14ac:dyDescent="0.35">
      <c r="A557" s="3" t="s">
        <v>569</v>
      </c>
      <c r="B557" s="4">
        <v>45535</v>
      </c>
      <c r="C557" s="4">
        <v>45561</v>
      </c>
      <c r="D557" s="5">
        <v>26</v>
      </c>
      <c r="E557" s="3" t="s">
        <v>647</v>
      </c>
      <c r="F557" s="3" t="s">
        <v>652</v>
      </c>
      <c r="G557" s="3" t="s">
        <v>689</v>
      </c>
      <c r="H557" s="3" t="s">
        <v>702</v>
      </c>
      <c r="I557" s="3" t="s">
        <v>708</v>
      </c>
      <c r="J557" s="3" t="s">
        <v>714</v>
      </c>
      <c r="K557" s="3" t="s">
        <v>730</v>
      </c>
      <c r="L557" s="3" t="s">
        <v>1287</v>
      </c>
      <c r="M557" s="3">
        <v>1189.03</v>
      </c>
      <c r="N557" s="3">
        <v>2949.62</v>
      </c>
      <c r="O557" s="3">
        <v>0.125</v>
      </c>
      <c r="P557" s="3">
        <v>13</v>
      </c>
      <c r="Q557" s="3">
        <v>33551.927499999998</v>
      </c>
      <c r="R557" s="3">
        <f t="shared" si="40"/>
        <v>15457.39</v>
      </c>
      <c r="S557" s="3">
        <v>18094.537499999999</v>
      </c>
      <c r="T557" s="3">
        <f t="shared" si="41"/>
        <v>0.53929949330034765</v>
      </c>
      <c r="U557" s="3" t="str">
        <f t="shared" si="42"/>
        <v>Aug-2024</v>
      </c>
      <c r="AB557" s="3">
        <f t="shared" si="43"/>
        <v>15457.39</v>
      </c>
      <c r="AC557" s="3">
        <f t="shared" si="44"/>
        <v>33551.927499999998</v>
      </c>
    </row>
    <row r="558" spans="1:29" x14ac:dyDescent="0.35">
      <c r="A558" s="3" t="s">
        <v>570</v>
      </c>
      <c r="B558" s="4">
        <v>45053</v>
      </c>
      <c r="C558" s="4">
        <v>45066</v>
      </c>
      <c r="D558" s="5">
        <v>13</v>
      </c>
      <c r="E558" s="3" t="s">
        <v>647</v>
      </c>
      <c r="F558" s="3" t="s">
        <v>654</v>
      </c>
      <c r="G558" s="3" t="s">
        <v>691</v>
      </c>
      <c r="H558" s="3" t="s">
        <v>706</v>
      </c>
      <c r="I558" s="3" t="s">
        <v>707</v>
      </c>
      <c r="J558" s="3" t="s">
        <v>726</v>
      </c>
      <c r="K558" s="3" t="s">
        <v>733</v>
      </c>
      <c r="L558" s="3" t="s">
        <v>1288</v>
      </c>
      <c r="M558" s="3">
        <v>1443.28</v>
      </c>
      <c r="N558" s="3">
        <v>2580.5700000000002</v>
      </c>
      <c r="O558" s="3">
        <v>0</v>
      </c>
      <c r="P558" s="3">
        <v>18</v>
      </c>
      <c r="Q558" s="3">
        <v>46450.26</v>
      </c>
      <c r="R558" s="3">
        <f t="shared" si="40"/>
        <v>25979.040000000001</v>
      </c>
      <c r="S558" s="3">
        <v>20471.22</v>
      </c>
      <c r="T558" s="3">
        <f t="shared" si="41"/>
        <v>0.4407127107577008</v>
      </c>
      <c r="U558" s="3" t="str">
        <f t="shared" si="42"/>
        <v>May-2023</v>
      </c>
      <c r="AB558" s="3">
        <f t="shared" si="43"/>
        <v>25979.040000000001</v>
      </c>
      <c r="AC558" s="3">
        <f t="shared" si="44"/>
        <v>46450.26</v>
      </c>
    </row>
    <row r="559" spans="1:29" x14ac:dyDescent="0.35">
      <c r="A559" s="3" t="s">
        <v>571</v>
      </c>
      <c r="B559" s="4">
        <v>45791</v>
      </c>
      <c r="C559" s="4">
        <v>45789</v>
      </c>
      <c r="D559" s="5">
        <v>2</v>
      </c>
      <c r="E559" s="3" t="s">
        <v>648</v>
      </c>
      <c r="F559" s="3" t="s">
        <v>653</v>
      </c>
      <c r="G559" s="3" t="s">
        <v>688</v>
      </c>
      <c r="H559" s="3" t="s">
        <v>703</v>
      </c>
      <c r="I559" s="3" t="s">
        <v>710</v>
      </c>
      <c r="J559" s="3" t="s">
        <v>721</v>
      </c>
      <c r="K559" s="3" t="s">
        <v>728</v>
      </c>
      <c r="L559" s="3" t="s">
        <v>1289</v>
      </c>
      <c r="M559" s="3">
        <v>883.5</v>
      </c>
      <c r="N559" s="3">
        <v>1978.91</v>
      </c>
      <c r="O559" s="3">
        <v>5.3999999999999999E-2</v>
      </c>
      <c r="P559" s="3">
        <v>27</v>
      </c>
      <c r="Q559" s="3">
        <v>50545.319219999998</v>
      </c>
      <c r="R559" s="3">
        <f t="shared" si="40"/>
        <v>23854.5</v>
      </c>
      <c r="S559" s="3">
        <v>26690.819219999998</v>
      </c>
      <c r="T559" s="3">
        <f t="shared" si="41"/>
        <v>0.52805718970390547</v>
      </c>
      <c r="U559" s="3" t="str">
        <f t="shared" si="42"/>
        <v>May-2025</v>
      </c>
      <c r="AB559" s="3">
        <f t="shared" si="43"/>
        <v>23854.5</v>
      </c>
      <c r="AC559" s="3">
        <f t="shared" si="44"/>
        <v>50545.319219999998</v>
      </c>
    </row>
    <row r="560" spans="1:29" x14ac:dyDescent="0.35">
      <c r="A560" s="3" t="s">
        <v>572</v>
      </c>
      <c r="B560" s="4">
        <v>45362</v>
      </c>
      <c r="C560" s="4">
        <v>45380</v>
      </c>
      <c r="D560" s="5">
        <v>18</v>
      </c>
      <c r="E560" s="3" t="s">
        <v>648</v>
      </c>
      <c r="F560" s="3" t="s">
        <v>660</v>
      </c>
      <c r="G560" s="3" t="s">
        <v>700</v>
      </c>
      <c r="H560" s="3" t="s">
        <v>701</v>
      </c>
      <c r="I560" s="3" t="s">
        <v>707</v>
      </c>
      <c r="J560" s="3" t="s">
        <v>724</v>
      </c>
      <c r="K560" s="3" t="s">
        <v>732</v>
      </c>
      <c r="L560" s="3" t="s">
        <v>1290</v>
      </c>
      <c r="M560" s="3">
        <v>710.98</v>
      </c>
      <c r="N560" s="3">
        <v>1481.45</v>
      </c>
      <c r="O560" s="3">
        <v>0.21099999999999999</v>
      </c>
      <c r="P560" s="3">
        <v>9</v>
      </c>
      <c r="Q560" s="3">
        <v>10519.776450000001</v>
      </c>
      <c r="R560" s="3">
        <f t="shared" si="40"/>
        <v>6398.82</v>
      </c>
      <c r="S560" s="3">
        <v>4120.9564500000015</v>
      </c>
      <c r="T560" s="3">
        <f t="shared" si="41"/>
        <v>0.39173422264120461</v>
      </c>
      <c r="U560" s="3" t="str">
        <f t="shared" si="42"/>
        <v>Mar-2024</v>
      </c>
      <c r="AB560" s="3">
        <f t="shared" si="43"/>
        <v>6398.82</v>
      </c>
      <c r="AC560" s="3">
        <f t="shared" si="44"/>
        <v>10666.440000000002</v>
      </c>
    </row>
    <row r="561" spans="1:29" x14ac:dyDescent="0.35">
      <c r="A561" s="3" t="s">
        <v>573</v>
      </c>
      <c r="B561" s="4">
        <v>45430</v>
      </c>
      <c r="C561" s="4">
        <v>45434</v>
      </c>
      <c r="D561" s="5">
        <v>4</v>
      </c>
      <c r="E561" s="3" t="s">
        <v>646</v>
      </c>
      <c r="F561" s="3" t="s">
        <v>650</v>
      </c>
      <c r="G561" s="3" t="s">
        <v>664</v>
      </c>
      <c r="H561" s="3" t="s">
        <v>701</v>
      </c>
      <c r="I561" s="3" t="s">
        <v>711</v>
      </c>
      <c r="J561" s="3" t="s">
        <v>722</v>
      </c>
      <c r="K561" s="3" t="s">
        <v>733</v>
      </c>
      <c r="L561" s="3" t="s">
        <v>1291</v>
      </c>
      <c r="M561" s="3">
        <v>857.42</v>
      </c>
      <c r="N561" s="3">
        <v>1658.92</v>
      </c>
      <c r="O561" s="3">
        <v>0.122</v>
      </c>
      <c r="P561" s="3">
        <v>9</v>
      </c>
      <c r="Q561" s="3">
        <v>13108.78584</v>
      </c>
      <c r="R561" s="3">
        <f t="shared" si="40"/>
        <v>7716.78</v>
      </c>
      <c r="S561" s="3">
        <v>5392.0058400000007</v>
      </c>
      <c r="T561" s="3">
        <f t="shared" si="41"/>
        <v>0.41132763215544305</v>
      </c>
      <c r="U561" s="3" t="str">
        <f t="shared" si="42"/>
        <v>May-2024</v>
      </c>
      <c r="AB561" s="3">
        <f t="shared" si="43"/>
        <v>7716.78</v>
      </c>
      <c r="AC561" s="3">
        <f t="shared" si="44"/>
        <v>13108.78584</v>
      </c>
    </row>
    <row r="562" spans="1:29" x14ac:dyDescent="0.35">
      <c r="A562" s="3" t="s">
        <v>574</v>
      </c>
      <c r="B562" s="4">
        <v>45299</v>
      </c>
      <c r="C562" s="4">
        <v>45303</v>
      </c>
      <c r="D562" s="5">
        <v>4</v>
      </c>
      <c r="E562" s="3" t="s">
        <v>647</v>
      </c>
      <c r="F562" s="3" t="s">
        <v>654</v>
      </c>
      <c r="G562" s="3" t="s">
        <v>668</v>
      </c>
      <c r="H562" s="3" t="s">
        <v>701</v>
      </c>
      <c r="I562" s="3" t="s">
        <v>711</v>
      </c>
      <c r="J562" s="3" t="s">
        <v>718</v>
      </c>
      <c r="K562" s="3" t="s">
        <v>728</v>
      </c>
      <c r="L562" s="3" t="s">
        <v>1292</v>
      </c>
      <c r="M562" s="3">
        <v>802.32</v>
      </c>
      <c r="N562" s="3">
        <v>602.34</v>
      </c>
      <c r="O562" s="3">
        <v>0.12</v>
      </c>
      <c r="P562" s="3">
        <v>25</v>
      </c>
      <c r="Q562" s="3">
        <v>13251.48</v>
      </c>
      <c r="R562" s="3">
        <f t="shared" si="40"/>
        <v>20058</v>
      </c>
      <c r="S562" s="3">
        <v>6806.52</v>
      </c>
      <c r="T562" s="3">
        <f t="shared" si="41"/>
        <v>0.51364224977134632</v>
      </c>
      <c r="U562" s="3" t="str">
        <f t="shared" si="42"/>
        <v>Jan-2024</v>
      </c>
      <c r="AB562" s="3">
        <f t="shared" si="43"/>
        <v>20058</v>
      </c>
      <c r="AC562" s="3">
        <f t="shared" si="44"/>
        <v>13251.48</v>
      </c>
    </row>
    <row r="563" spans="1:29" x14ac:dyDescent="0.35">
      <c r="A563" s="3" t="s">
        <v>575</v>
      </c>
      <c r="B563" s="4">
        <v>45590</v>
      </c>
      <c r="C563" s="4">
        <v>45601</v>
      </c>
      <c r="D563" s="5">
        <v>11</v>
      </c>
      <c r="E563" s="3" t="s">
        <v>648</v>
      </c>
      <c r="F563" s="3" t="s">
        <v>660</v>
      </c>
      <c r="G563" s="3" t="s">
        <v>700</v>
      </c>
      <c r="H563" s="3" t="s">
        <v>701</v>
      </c>
      <c r="I563" s="3" t="s">
        <v>710</v>
      </c>
      <c r="J563" s="3" t="s">
        <v>725</v>
      </c>
      <c r="K563" s="3" t="s">
        <v>727</v>
      </c>
      <c r="L563" s="3" t="s">
        <v>1293</v>
      </c>
      <c r="M563" s="3">
        <v>446.66</v>
      </c>
      <c r="N563" s="3">
        <v>527.64</v>
      </c>
      <c r="O563" s="3">
        <v>0.14499999999999999</v>
      </c>
      <c r="P563" s="3">
        <v>15</v>
      </c>
      <c r="Q563" s="3">
        <v>6766.9829999999993</v>
      </c>
      <c r="R563" s="3">
        <f t="shared" si="40"/>
        <v>6699.9000000000005</v>
      </c>
      <c r="S563" s="3">
        <v>67.082999999998719</v>
      </c>
      <c r="T563" s="3">
        <f t="shared" si="41"/>
        <v>9.9132804087137105E-3</v>
      </c>
      <c r="U563" s="3" t="str">
        <f t="shared" si="42"/>
        <v>Oct-2024</v>
      </c>
      <c r="AB563" s="3">
        <f t="shared" si="43"/>
        <v>6699.9000000000005</v>
      </c>
      <c r="AC563" s="3">
        <f t="shared" si="44"/>
        <v>6766.9829999999993</v>
      </c>
    </row>
    <row r="564" spans="1:29" x14ac:dyDescent="0.35">
      <c r="A564" s="3" t="s">
        <v>576</v>
      </c>
      <c r="B564" s="4">
        <v>45626</v>
      </c>
      <c r="C564" s="4">
        <v>45645</v>
      </c>
      <c r="D564" s="5">
        <v>19</v>
      </c>
      <c r="E564" s="3" t="s">
        <v>646</v>
      </c>
      <c r="F564" s="3" t="s">
        <v>650</v>
      </c>
      <c r="G564" s="3" t="s">
        <v>662</v>
      </c>
      <c r="H564" s="3" t="s">
        <v>701</v>
      </c>
      <c r="I564" s="3" t="s">
        <v>708</v>
      </c>
      <c r="J564" s="3" t="s">
        <v>716</v>
      </c>
      <c r="K564" s="3" t="s">
        <v>730</v>
      </c>
      <c r="L564" s="3" t="s">
        <v>1294</v>
      </c>
      <c r="M564" s="3">
        <v>1195.98</v>
      </c>
      <c r="N564" s="3">
        <v>1841.9</v>
      </c>
      <c r="O564" s="3">
        <v>5.5E-2</v>
      </c>
      <c r="P564" s="3">
        <v>19</v>
      </c>
      <c r="Q564" s="3">
        <v>33071.3145</v>
      </c>
      <c r="R564" s="3">
        <f t="shared" si="40"/>
        <v>22723.62</v>
      </c>
      <c r="S564" s="3">
        <v>10347.694500000001</v>
      </c>
      <c r="T564" s="3">
        <f t="shared" si="41"/>
        <v>0.31289032977506842</v>
      </c>
      <c r="U564" s="3" t="str">
        <f t="shared" si="42"/>
        <v>Nov-2024</v>
      </c>
      <c r="AB564" s="3">
        <f t="shared" si="43"/>
        <v>22723.62</v>
      </c>
      <c r="AC564" s="3">
        <f t="shared" si="44"/>
        <v>33071.3145</v>
      </c>
    </row>
    <row r="565" spans="1:29" x14ac:dyDescent="0.35">
      <c r="A565" s="3" t="s">
        <v>577</v>
      </c>
      <c r="B565" s="4">
        <v>45029</v>
      </c>
      <c r="C565" s="4">
        <v>45048</v>
      </c>
      <c r="D565" s="5">
        <v>19</v>
      </c>
      <c r="E565" s="3" t="s">
        <v>648</v>
      </c>
      <c r="F565" s="3" t="s">
        <v>653</v>
      </c>
      <c r="G565" s="3" t="s">
        <v>681</v>
      </c>
      <c r="H565" s="3" t="s">
        <v>704</v>
      </c>
      <c r="I565" s="3" t="s">
        <v>710</v>
      </c>
      <c r="J565" s="3" t="s">
        <v>718</v>
      </c>
      <c r="K565" s="3" t="s">
        <v>732</v>
      </c>
      <c r="L565" s="3" t="s">
        <v>1295</v>
      </c>
      <c r="M565" s="3">
        <v>671.05</v>
      </c>
      <c r="N565" s="3">
        <v>1645.48</v>
      </c>
      <c r="O565" s="3">
        <v>0.13700000000000001</v>
      </c>
      <c r="P565" s="3">
        <v>6</v>
      </c>
      <c r="Q565" s="3">
        <v>8520.2954399999999</v>
      </c>
      <c r="R565" s="3">
        <f t="shared" si="40"/>
        <v>4026.2999999999997</v>
      </c>
      <c r="S565" s="3">
        <v>4493.9954400000006</v>
      </c>
      <c r="T565" s="3">
        <f t="shared" si="41"/>
        <v>0.52744596377517172</v>
      </c>
      <c r="U565" s="3" t="str">
        <f t="shared" si="42"/>
        <v>Apr-2023</v>
      </c>
      <c r="AB565" s="3">
        <f t="shared" si="43"/>
        <v>4026.2999999999997</v>
      </c>
      <c r="AC565" s="3">
        <f t="shared" si="44"/>
        <v>8520.2954399999999</v>
      </c>
    </row>
    <row r="566" spans="1:29" x14ac:dyDescent="0.35">
      <c r="A566" s="3" t="s">
        <v>578</v>
      </c>
      <c r="B566" s="4">
        <v>45692</v>
      </c>
      <c r="C566" s="4">
        <v>45696</v>
      </c>
      <c r="D566" s="5">
        <v>4</v>
      </c>
      <c r="E566" s="3" t="s">
        <v>649</v>
      </c>
      <c r="F566" s="3" t="s">
        <v>658</v>
      </c>
      <c r="G566" s="3" t="s">
        <v>693</v>
      </c>
      <c r="H566" s="3" t="s">
        <v>706</v>
      </c>
      <c r="I566" s="3" t="s">
        <v>709</v>
      </c>
      <c r="J566" s="3" t="s">
        <v>716</v>
      </c>
      <c r="K566" s="3" t="s">
        <v>729</v>
      </c>
      <c r="L566" s="3" t="s">
        <v>1296</v>
      </c>
      <c r="M566" s="3">
        <v>586.21</v>
      </c>
      <c r="N566" s="3">
        <v>727.22</v>
      </c>
      <c r="O566" s="3">
        <v>6.8000000000000005E-2</v>
      </c>
      <c r="P566" s="3">
        <v>15</v>
      </c>
      <c r="Q566" s="3">
        <v>10166.535600000001</v>
      </c>
      <c r="R566" s="3">
        <f t="shared" si="40"/>
        <v>8793.1500000000015</v>
      </c>
      <c r="S566" s="3">
        <v>1373.3855999999996</v>
      </c>
      <c r="T566" s="3">
        <f t="shared" si="41"/>
        <v>0.13508884973559721</v>
      </c>
      <c r="U566" s="3" t="str">
        <f t="shared" si="42"/>
        <v>Feb-2025</v>
      </c>
      <c r="AB566" s="3">
        <f t="shared" si="43"/>
        <v>8793.1500000000015</v>
      </c>
      <c r="AC566" s="3">
        <f t="shared" si="44"/>
        <v>10166.535600000001</v>
      </c>
    </row>
    <row r="567" spans="1:29" x14ac:dyDescent="0.35">
      <c r="A567" s="3" t="s">
        <v>579</v>
      </c>
      <c r="B567" s="4">
        <v>45315</v>
      </c>
      <c r="C567" s="4">
        <v>45326</v>
      </c>
      <c r="D567" s="5">
        <v>11</v>
      </c>
      <c r="E567" s="3" t="s">
        <v>649</v>
      </c>
      <c r="F567" s="3" t="s">
        <v>658</v>
      </c>
      <c r="G567" s="3" t="s">
        <v>693</v>
      </c>
      <c r="H567" s="3" t="s">
        <v>704</v>
      </c>
      <c r="I567" s="3" t="s">
        <v>707</v>
      </c>
      <c r="J567" s="3" t="s">
        <v>717</v>
      </c>
      <c r="K567" s="3" t="s">
        <v>731</v>
      </c>
      <c r="L567" s="3" t="s">
        <v>1297</v>
      </c>
      <c r="M567" s="3">
        <v>525.34</v>
      </c>
      <c r="N567" s="3">
        <v>1233.79</v>
      </c>
      <c r="O567" s="3">
        <v>0.14299999999999999</v>
      </c>
      <c r="P567" s="3">
        <v>4</v>
      </c>
      <c r="Q567" s="3">
        <v>4229.4321199999995</v>
      </c>
      <c r="R567" s="3">
        <f t="shared" si="40"/>
        <v>2101.36</v>
      </c>
      <c r="S567" s="3">
        <v>2128.0721199999994</v>
      </c>
      <c r="T567" s="3">
        <f t="shared" si="41"/>
        <v>0.50315788494082736</v>
      </c>
      <c r="U567" s="3" t="str">
        <f t="shared" si="42"/>
        <v>Jan-2024</v>
      </c>
      <c r="AB567" s="3">
        <f t="shared" si="43"/>
        <v>2101.36</v>
      </c>
      <c r="AC567" s="3">
        <f t="shared" si="44"/>
        <v>4229.4321199999995</v>
      </c>
    </row>
    <row r="568" spans="1:29" x14ac:dyDescent="0.35">
      <c r="A568" s="3" t="s">
        <v>580</v>
      </c>
      <c r="B568" s="4">
        <v>45330</v>
      </c>
      <c r="C568" s="4">
        <v>45331</v>
      </c>
      <c r="D568" s="5">
        <v>1</v>
      </c>
      <c r="E568" s="3" t="s">
        <v>646</v>
      </c>
      <c r="F568" s="3" t="s">
        <v>650</v>
      </c>
      <c r="G568" s="3" t="s">
        <v>675</v>
      </c>
      <c r="H568" s="3" t="s">
        <v>701</v>
      </c>
      <c r="I568" s="3" t="s">
        <v>711</v>
      </c>
      <c r="J568" s="3" t="s">
        <v>721</v>
      </c>
      <c r="K568" s="3" t="s">
        <v>727</v>
      </c>
      <c r="L568" s="3" t="s">
        <v>1298</v>
      </c>
      <c r="M568" s="3">
        <v>1233.52</v>
      </c>
      <c r="N568" s="3">
        <v>1543.76</v>
      </c>
      <c r="O568" s="3">
        <v>0.126</v>
      </c>
      <c r="P568" s="3">
        <v>13</v>
      </c>
      <c r="Q568" s="3">
        <v>17540.201120000002</v>
      </c>
      <c r="R568" s="3">
        <f t="shared" si="40"/>
        <v>16035.76</v>
      </c>
      <c r="S568" s="3">
        <v>1504.4411200000013</v>
      </c>
      <c r="T568" s="3">
        <f t="shared" si="41"/>
        <v>8.5771030201277493E-2</v>
      </c>
      <c r="U568" s="3" t="str">
        <f t="shared" si="42"/>
        <v>Feb-2024</v>
      </c>
      <c r="AB568" s="3">
        <f t="shared" si="43"/>
        <v>16035.76</v>
      </c>
      <c r="AC568" s="3">
        <f t="shared" si="44"/>
        <v>17540.201120000002</v>
      </c>
    </row>
    <row r="569" spans="1:29" x14ac:dyDescent="0.35">
      <c r="A569" s="3" t="s">
        <v>581</v>
      </c>
      <c r="B569" s="4">
        <v>45834</v>
      </c>
      <c r="C569" s="4">
        <v>45849</v>
      </c>
      <c r="D569" s="5">
        <v>15</v>
      </c>
      <c r="E569" s="3" t="s">
        <v>646</v>
      </c>
      <c r="F569" s="3" t="s">
        <v>651</v>
      </c>
      <c r="G569" s="3" t="s">
        <v>663</v>
      </c>
      <c r="H569" s="3" t="s">
        <v>705</v>
      </c>
      <c r="I569" s="3" t="s">
        <v>708</v>
      </c>
      <c r="J569" s="3" t="s">
        <v>720</v>
      </c>
      <c r="K569" s="3" t="s">
        <v>731</v>
      </c>
      <c r="L569" s="3" t="s">
        <v>1299</v>
      </c>
      <c r="M569" s="3">
        <v>1170.1500000000001</v>
      </c>
      <c r="N569" s="3">
        <v>2115.19</v>
      </c>
      <c r="O569" s="3">
        <v>9.1999999999999998E-2</v>
      </c>
      <c r="P569" s="3">
        <v>23</v>
      </c>
      <c r="Q569" s="3">
        <v>44173.627960000005</v>
      </c>
      <c r="R569" s="3">
        <f t="shared" si="40"/>
        <v>26913.45</v>
      </c>
      <c r="S569" s="3">
        <v>17260.177960000005</v>
      </c>
      <c r="T569" s="3">
        <f t="shared" si="41"/>
        <v>0.39073489674946776</v>
      </c>
      <c r="U569" s="3" t="str">
        <f t="shared" si="42"/>
        <v>Jun-2025</v>
      </c>
      <c r="AB569" s="3">
        <f t="shared" si="43"/>
        <v>26913.45</v>
      </c>
      <c r="AC569" s="3">
        <f t="shared" si="44"/>
        <v>44173.627960000005</v>
      </c>
    </row>
    <row r="570" spans="1:29" x14ac:dyDescent="0.35">
      <c r="A570" s="3" t="s">
        <v>582</v>
      </c>
      <c r="B570" s="4">
        <v>45600</v>
      </c>
      <c r="C570" s="4">
        <v>45603</v>
      </c>
      <c r="D570" s="5">
        <v>3</v>
      </c>
      <c r="E570" s="3" t="s">
        <v>649</v>
      </c>
      <c r="F570" s="3" t="s">
        <v>657</v>
      </c>
      <c r="G570" s="3" t="s">
        <v>679</v>
      </c>
      <c r="H570" s="3" t="s">
        <v>701</v>
      </c>
      <c r="I570" s="3" t="s">
        <v>708</v>
      </c>
      <c r="J570" s="3" t="s">
        <v>719</v>
      </c>
      <c r="K570" s="3" t="s">
        <v>732</v>
      </c>
      <c r="L570" s="3" t="s">
        <v>1300</v>
      </c>
      <c r="M570" s="3">
        <v>740.68</v>
      </c>
      <c r="N570" s="3">
        <v>1837.19</v>
      </c>
      <c r="O570" s="3">
        <v>0.19700000000000001</v>
      </c>
      <c r="P570" s="3">
        <v>17</v>
      </c>
      <c r="Q570" s="3">
        <v>25079.480689999997</v>
      </c>
      <c r="R570" s="3">
        <f t="shared" si="40"/>
        <v>12591.56</v>
      </c>
      <c r="S570" s="3">
        <v>12487.920689999997</v>
      </c>
      <c r="T570" s="3">
        <f t="shared" si="41"/>
        <v>0.4979337827748298</v>
      </c>
      <c r="U570" s="3" t="str">
        <f t="shared" si="42"/>
        <v>Nov-2024</v>
      </c>
      <c r="AB570" s="3">
        <f t="shared" si="43"/>
        <v>12591.56</v>
      </c>
      <c r="AC570" s="3">
        <f t="shared" si="44"/>
        <v>25079.480689999997</v>
      </c>
    </row>
    <row r="571" spans="1:29" x14ac:dyDescent="0.35">
      <c r="A571" s="3" t="s">
        <v>583</v>
      </c>
      <c r="B571" s="4">
        <v>45342</v>
      </c>
      <c r="C571" s="4">
        <v>45342</v>
      </c>
      <c r="D571" s="5">
        <v>0</v>
      </c>
      <c r="E571" s="3" t="s">
        <v>648</v>
      </c>
      <c r="F571" s="3" t="s">
        <v>660</v>
      </c>
      <c r="G571" s="3" t="s">
        <v>700</v>
      </c>
      <c r="H571" s="3" t="s">
        <v>706</v>
      </c>
      <c r="I571" s="3" t="s">
        <v>708</v>
      </c>
      <c r="J571" s="3" t="s">
        <v>712</v>
      </c>
      <c r="K571" s="3" t="s">
        <v>729</v>
      </c>
      <c r="L571" s="3" t="s">
        <v>1301</v>
      </c>
      <c r="M571" s="3">
        <v>1407.05</v>
      </c>
      <c r="N571" s="3">
        <v>2858.93</v>
      </c>
      <c r="O571" s="3">
        <v>0</v>
      </c>
      <c r="P571" s="3">
        <v>12</v>
      </c>
      <c r="Q571" s="3">
        <v>34307.159999999996</v>
      </c>
      <c r="R571" s="3">
        <f t="shared" si="40"/>
        <v>16884.599999999999</v>
      </c>
      <c r="S571" s="3">
        <v>17422.559999999998</v>
      </c>
      <c r="T571" s="3">
        <f t="shared" si="41"/>
        <v>0.50784034586366222</v>
      </c>
      <c r="U571" s="3" t="str">
        <f t="shared" si="42"/>
        <v>Feb-2024</v>
      </c>
      <c r="AB571" s="3">
        <f t="shared" si="43"/>
        <v>16884.599999999999</v>
      </c>
      <c r="AC571" s="3">
        <f t="shared" si="44"/>
        <v>34307.159999999996</v>
      </c>
    </row>
    <row r="572" spans="1:29" x14ac:dyDescent="0.35">
      <c r="A572" s="3" t="s">
        <v>584</v>
      </c>
      <c r="B572" s="4">
        <v>45760</v>
      </c>
      <c r="C572" s="4">
        <v>45761</v>
      </c>
      <c r="D572" s="5">
        <v>1</v>
      </c>
      <c r="E572" s="3" t="s">
        <v>647</v>
      </c>
      <c r="F572" s="3" t="s">
        <v>652</v>
      </c>
      <c r="G572" s="3" t="s">
        <v>666</v>
      </c>
      <c r="H572" s="3" t="s">
        <v>706</v>
      </c>
      <c r="I572" s="3" t="s">
        <v>708</v>
      </c>
      <c r="J572" s="3" t="s">
        <v>715</v>
      </c>
      <c r="K572" s="3" t="s">
        <v>727</v>
      </c>
      <c r="L572" s="3" t="s">
        <v>1302</v>
      </c>
      <c r="M572" s="3">
        <v>138.9</v>
      </c>
      <c r="N572" s="3">
        <v>289.92</v>
      </c>
      <c r="O572" s="3">
        <v>2.9000000000000001E-2</v>
      </c>
      <c r="P572" s="3">
        <v>12</v>
      </c>
      <c r="Q572" s="3">
        <v>3378.1478400000001</v>
      </c>
      <c r="R572" s="3">
        <f t="shared" si="40"/>
        <v>1666.8000000000002</v>
      </c>
      <c r="S572" s="3">
        <v>1711.3478399999999</v>
      </c>
      <c r="T572" s="3">
        <f t="shared" si="41"/>
        <v>0.50659353025828491</v>
      </c>
      <c r="U572" s="3" t="str">
        <f t="shared" si="42"/>
        <v>Apr-2025</v>
      </c>
      <c r="AB572" s="3">
        <f t="shared" si="43"/>
        <v>1666.8000000000002</v>
      </c>
      <c r="AC572" s="3">
        <f t="shared" si="44"/>
        <v>3378.1478400000001</v>
      </c>
    </row>
    <row r="573" spans="1:29" x14ac:dyDescent="0.35">
      <c r="A573" s="3" t="s">
        <v>585</v>
      </c>
      <c r="B573" s="4">
        <v>45078</v>
      </c>
      <c r="C573" s="4">
        <v>45078</v>
      </c>
      <c r="D573" s="5">
        <v>0</v>
      </c>
      <c r="E573" s="3" t="s">
        <v>647</v>
      </c>
      <c r="F573" s="3" t="s">
        <v>654</v>
      </c>
      <c r="G573" s="3" t="s">
        <v>668</v>
      </c>
      <c r="H573" s="3" t="s">
        <v>701</v>
      </c>
      <c r="I573" s="3" t="s">
        <v>707</v>
      </c>
      <c r="J573" s="3" t="s">
        <v>718</v>
      </c>
      <c r="K573" s="3" t="s">
        <v>733</v>
      </c>
      <c r="L573" s="3" t="s">
        <v>1303</v>
      </c>
      <c r="M573" s="3">
        <v>669.37</v>
      </c>
      <c r="N573" s="3">
        <v>997.2</v>
      </c>
      <c r="O573" s="3">
        <v>8.2000000000000003E-2</v>
      </c>
      <c r="P573" s="3">
        <v>5</v>
      </c>
      <c r="Q573" s="3">
        <v>4577.1480000000001</v>
      </c>
      <c r="R573" s="3">
        <f t="shared" si="40"/>
        <v>3346.85</v>
      </c>
      <c r="S573" s="3">
        <v>1230.2980000000002</v>
      </c>
      <c r="T573" s="3">
        <f t="shared" si="41"/>
        <v>0.26879139586484863</v>
      </c>
      <c r="U573" s="3" t="str">
        <f t="shared" si="42"/>
        <v>Jun-2023</v>
      </c>
      <c r="AB573" s="3">
        <f t="shared" si="43"/>
        <v>3346.85</v>
      </c>
      <c r="AC573" s="3">
        <f t="shared" si="44"/>
        <v>4577.1480000000001</v>
      </c>
    </row>
    <row r="574" spans="1:29" x14ac:dyDescent="0.35">
      <c r="A574" s="3" t="s">
        <v>586</v>
      </c>
      <c r="B574" s="4">
        <v>45740</v>
      </c>
      <c r="C574" s="4">
        <v>45751</v>
      </c>
      <c r="D574" s="5">
        <v>11</v>
      </c>
      <c r="E574" s="3" t="s">
        <v>647</v>
      </c>
      <c r="F574" s="3" t="s">
        <v>654</v>
      </c>
      <c r="G574" s="3" t="s">
        <v>691</v>
      </c>
      <c r="H574" s="3" t="s">
        <v>702</v>
      </c>
      <c r="I574" s="3" t="s">
        <v>709</v>
      </c>
      <c r="J574" s="3" t="s">
        <v>713</v>
      </c>
      <c r="K574" s="3" t="s">
        <v>730</v>
      </c>
      <c r="L574" s="3" t="s">
        <v>1304</v>
      </c>
      <c r="M574" s="3">
        <v>23.83</v>
      </c>
      <c r="N574" s="3">
        <v>47.29</v>
      </c>
      <c r="O574" s="3">
        <v>6.4000000000000001E-2</v>
      </c>
      <c r="P574" s="3">
        <v>19</v>
      </c>
      <c r="Q574" s="3">
        <v>841.00536</v>
      </c>
      <c r="R574" s="3">
        <f t="shared" si="40"/>
        <v>452.77</v>
      </c>
      <c r="S574" s="3">
        <v>388.23536000000001</v>
      </c>
      <c r="T574" s="3">
        <f t="shared" si="41"/>
        <v>0.46163244429262618</v>
      </c>
      <c r="U574" s="3" t="str">
        <f t="shared" si="42"/>
        <v>Mar-2025</v>
      </c>
      <c r="AB574" s="3">
        <f t="shared" si="43"/>
        <v>452.77</v>
      </c>
      <c r="AC574" s="3">
        <f t="shared" si="44"/>
        <v>841.00536</v>
      </c>
    </row>
    <row r="575" spans="1:29" x14ac:dyDescent="0.35">
      <c r="A575" s="3" t="s">
        <v>587</v>
      </c>
      <c r="B575" s="4">
        <v>45293</v>
      </c>
      <c r="C575" s="4">
        <v>45293</v>
      </c>
      <c r="D575" s="5">
        <v>0</v>
      </c>
      <c r="E575" s="3" t="s">
        <v>648</v>
      </c>
      <c r="F575" s="3" t="s">
        <v>653</v>
      </c>
      <c r="G575" s="3" t="s">
        <v>688</v>
      </c>
      <c r="H575" s="3" t="s">
        <v>702</v>
      </c>
      <c r="I575" s="3" t="s">
        <v>711</v>
      </c>
      <c r="J575" s="3" t="s">
        <v>720</v>
      </c>
      <c r="K575" s="3" t="s">
        <v>731</v>
      </c>
      <c r="L575" s="3" t="s">
        <v>1305</v>
      </c>
      <c r="M575" s="3">
        <v>444.41</v>
      </c>
      <c r="N575" s="3">
        <v>754.24</v>
      </c>
      <c r="O575" s="3">
        <v>0.20699999999999999</v>
      </c>
      <c r="P575" s="3">
        <v>32</v>
      </c>
      <c r="Q575" s="3">
        <v>19139.594240000002</v>
      </c>
      <c r="R575" s="3">
        <f t="shared" si="40"/>
        <v>14221.12</v>
      </c>
      <c r="S575" s="3">
        <v>4918.4742400000014</v>
      </c>
      <c r="T575" s="3">
        <f t="shared" si="41"/>
        <v>0.25697902360546598</v>
      </c>
      <c r="U575" s="3" t="str">
        <f t="shared" si="42"/>
        <v>Jan-2024</v>
      </c>
      <c r="AB575" s="3">
        <f t="shared" si="43"/>
        <v>14221.12</v>
      </c>
      <c r="AC575" s="3">
        <f t="shared" si="44"/>
        <v>19308.544000000002</v>
      </c>
    </row>
    <row r="576" spans="1:29" x14ac:dyDescent="0.35">
      <c r="A576" s="3" t="s">
        <v>588</v>
      </c>
      <c r="B576" s="4">
        <v>45279</v>
      </c>
      <c r="C576" s="4">
        <v>45292</v>
      </c>
      <c r="D576" s="5">
        <v>13</v>
      </c>
      <c r="E576" s="3" t="s">
        <v>648</v>
      </c>
      <c r="F576" s="3" t="s">
        <v>653</v>
      </c>
      <c r="G576" s="3" t="s">
        <v>667</v>
      </c>
      <c r="H576" s="3" t="s">
        <v>706</v>
      </c>
      <c r="I576" s="3" t="s">
        <v>707</v>
      </c>
      <c r="J576" s="3" t="s">
        <v>723</v>
      </c>
      <c r="K576" s="3" t="s">
        <v>732</v>
      </c>
      <c r="L576" s="3" t="s">
        <v>1306</v>
      </c>
      <c r="M576" s="3">
        <v>856.1</v>
      </c>
      <c r="N576" s="3">
        <v>901.48</v>
      </c>
      <c r="O576" s="3">
        <v>5.6000000000000001E-2</v>
      </c>
      <c r="P576" s="3">
        <v>17</v>
      </c>
      <c r="Q576" s="3">
        <v>14466.95104</v>
      </c>
      <c r="R576" s="3">
        <f t="shared" si="40"/>
        <v>14553.7</v>
      </c>
      <c r="S576" s="3">
        <v>86.748960000000807</v>
      </c>
      <c r="T576" s="3">
        <f t="shared" si="41"/>
        <v>5.9963540182134192E-3</v>
      </c>
      <c r="U576" s="3" t="str">
        <f t="shared" si="42"/>
        <v>Dec-2023</v>
      </c>
      <c r="AB576" s="3">
        <f t="shared" si="43"/>
        <v>14553.7</v>
      </c>
      <c r="AC576" s="3">
        <f t="shared" si="44"/>
        <v>14466.95104</v>
      </c>
    </row>
    <row r="577" spans="1:29" x14ac:dyDescent="0.35">
      <c r="A577" s="3" t="s">
        <v>589</v>
      </c>
      <c r="B577" s="4">
        <v>45042</v>
      </c>
      <c r="C577" s="4">
        <v>45042</v>
      </c>
      <c r="D577" s="5">
        <v>0</v>
      </c>
      <c r="E577" s="3" t="s">
        <v>649</v>
      </c>
      <c r="F577" s="3" t="s">
        <v>657</v>
      </c>
      <c r="G577" s="3" t="s">
        <v>673</v>
      </c>
      <c r="H577" s="3" t="s">
        <v>704</v>
      </c>
      <c r="I577" s="3" t="s">
        <v>711</v>
      </c>
      <c r="J577" s="3" t="s">
        <v>724</v>
      </c>
      <c r="K577" s="3" t="s">
        <v>727</v>
      </c>
      <c r="L577" s="3" t="s">
        <v>1307</v>
      </c>
      <c r="M577" s="3">
        <v>81.489999999999995</v>
      </c>
      <c r="N577" s="3">
        <v>113.08</v>
      </c>
      <c r="O577" s="3">
        <v>0.121</v>
      </c>
      <c r="P577" s="3">
        <v>5</v>
      </c>
      <c r="Q577" s="3">
        <v>496.98660000000001</v>
      </c>
      <c r="R577" s="3">
        <f t="shared" si="40"/>
        <v>407.45</v>
      </c>
      <c r="S577" s="3">
        <v>89.536600000000021</v>
      </c>
      <c r="T577" s="3">
        <f t="shared" si="41"/>
        <v>0.18015898215364362</v>
      </c>
      <c r="U577" s="3" t="str">
        <f t="shared" si="42"/>
        <v>Apr-2023</v>
      </c>
      <c r="AB577" s="3">
        <f t="shared" si="43"/>
        <v>407.45</v>
      </c>
      <c r="AC577" s="3">
        <f t="shared" si="44"/>
        <v>496.98660000000001</v>
      </c>
    </row>
    <row r="578" spans="1:29" x14ac:dyDescent="0.35">
      <c r="A578" s="3" t="s">
        <v>590</v>
      </c>
      <c r="B578" s="4">
        <v>45872</v>
      </c>
      <c r="C578" s="4">
        <v>45885</v>
      </c>
      <c r="D578" s="5">
        <v>13</v>
      </c>
      <c r="E578" s="3" t="s">
        <v>648</v>
      </c>
      <c r="F578" s="3" t="s">
        <v>653</v>
      </c>
      <c r="G578" s="3" t="s">
        <v>681</v>
      </c>
      <c r="H578" s="3" t="s">
        <v>706</v>
      </c>
      <c r="I578" s="3" t="s">
        <v>710</v>
      </c>
      <c r="J578" s="3" t="s">
        <v>719</v>
      </c>
      <c r="K578" s="3" t="s">
        <v>729</v>
      </c>
      <c r="L578" s="3" t="s">
        <v>1308</v>
      </c>
      <c r="M578" s="3">
        <v>698.66</v>
      </c>
      <c r="N578" s="3">
        <v>868.62</v>
      </c>
      <c r="O578" s="3">
        <v>7.1999999999999995E-2</v>
      </c>
      <c r="P578" s="3">
        <v>15</v>
      </c>
      <c r="Q578" s="3">
        <v>12091.190399999999</v>
      </c>
      <c r="R578" s="3">
        <f t="shared" si="40"/>
        <v>10479.9</v>
      </c>
      <c r="S578" s="3">
        <v>1611.2903999999999</v>
      </c>
      <c r="T578" s="3">
        <f t="shared" si="41"/>
        <v>0.13326151906432637</v>
      </c>
      <c r="U578" s="3" t="str">
        <f t="shared" si="42"/>
        <v>Aug-2025</v>
      </c>
      <c r="AB578" s="3">
        <f t="shared" si="43"/>
        <v>10479.9</v>
      </c>
      <c r="AC578" s="3">
        <f t="shared" si="44"/>
        <v>12091.190399999999</v>
      </c>
    </row>
    <row r="579" spans="1:29" x14ac:dyDescent="0.35">
      <c r="A579" s="3" t="s">
        <v>591</v>
      </c>
      <c r="B579" s="4">
        <v>45140</v>
      </c>
      <c r="C579" s="4">
        <v>45157</v>
      </c>
      <c r="D579" s="5">
        <v>17</v>
      </c>
      <c r="E579" s="3" t="s">
        <v>648</v>
      </c>
      <c r="F579" s="3" t="s">
        <v>653</v>
      </c>
      <c r="G579" s="3" t="s">
        <v>688</v>
      </c>
      <c r="H579" s="3" t="s">
        <v>701</v>
      </c>
      <c r="I579" s="3" t="s">
        <v>708</v>
      </c>
      <c r="J579" s="3" t="s">
        <v>721</v>
      </c>
      <c r="K579" s="3" t="s">
        <v>729</v>
      </c>
      <c r="L579" s="3" t="s">
        <v>1309</v>
      </c>
      <c r="M579" s="3">
        <v>175.38</v>
      </c>
      <c r="N579" s="3">
        <v>347.9</v>
      </c>
      <c r="O579" s="3">
        <v>7.1999999999999995E-2</v>
      </c>
      <c r="P579" s="3">
        <v>43</v>
      </c>
      <c r="Q579" s="3">
        <v>13882.6016</v>
      </c>
      <c r="R579" s="3">
        <f t="shared" ref="R579:R633" si="45">M579*P579</f>
        <v>7541.34</v>
      </c>
      <c r="S579" s="3">
        <v>6341.2615999999998</v>
      </c>
      <c r="T579" s="3">
        <f t="shared" ref="T579:T633" si="46">IF(Q579=0,0,S579/Q579)</f>
        <v>0.45677761148169804</v>
      </c>
      <c r="U579" s="3" t="str">
        <f t="shared" ref="U579:U633" si="47">TEXT(B579, "mmm-yyyy")</f>
        <v>Aug-2023</v>
      </c>
      <c r="AB579" s="3">
        <f t="shared" ref="AB579:AB633" si="48">M579 * P579 * (1+ $AF$2)</f>
        <v>7541.34</v>
      </c>
      <c r="AC579" s="3">
        <f t="shared" ref="AC579:AC633" si="49">N579 * P579 * (1- MIN(O579, $AF$3))</f>
        <v>13882.6016</v>
      </c>
    </row>
    <row r="580" spans="1:29" x14ac:dyDescent="0.35">
      <c r="A580" s="3" t="s">
        <v>592</v>
      </c>
      <c r="B580" s="4">
        <v>45092</v>
      </c>
      <c r="C580" s="4">
        <v>45119</v>
      </c>
      <c r="D580" s="5">
        <v>27</v>
      </c>
      <c r="E580" s="3" t="s">
        <v>649</v>
      </c>
      <c r="F580" s="3" t="s">
        <v>658</v>
      </c>
      <c r="G580" s="3" t="s">
        <v>693</v>
      </c>
      <c r="H580" s="3" t="s">
        <v>704</v>
      </c>
      <c r="I580" s="3" t="s">
        <v>711</v>
      </c>
      <c r="J580" s="3" t="s">
        <v>714</v>
      </c>
      <c r="K580" s="3" t="s">
        <v>733</v>
      </c>
      <c r="L580" s="3" t="s">
        <v>1310</v>
      </c>
      <c r="M580" s="3">
        <v>751.28</v>
      </c>
      <c r="N580" s="3">
        <v>1111.8800000000001</v>
      </c>
      <c r="O580" s="3">
        <v>0.13500000000000001</v>
      </c>
      <c r="P580" s="3">
        <v>7</v>
      </c>
      <c r="Q580" s="3">
        <v>6732.4334000000008</v>
      </c>
      <c r="R580" s="3">
        <f t="shared" si="45"/>
        <v>5258.96</v>
      </c>
      <c r="S580" s="3">
        <v>1473.4734000000008</v>
      </c>
      <c r="T580" s="3">
        <f t="shared" si="46"/>
        <v>0.21886193482433863</v>
      </c>
      <c r="U580" s="3" t="str">
        <f t="shared" si="47"/>
        <v>Jun-2023</v>
      </c>
      <c r="AB580" s="3">
        <f t="shared" si="48"/>
        <v>5258.96</v>
      </c>
      <c r="AC580" s="3">
        <f t="shared" si="49"/>
        <v>6732.4334000000008</v>
      </c>
    </row>
    <row r="581" spans="1:29" x14ac:dyDescent="0.35">
      <c r="A581" s="3" t="s">
        <v>593</v>
      </c>
      <c r="B581" s="4">
        <v>45607</v>
      </c>
      <c r="C581" s="4">
        <v>45620</v>
      </c>
      <c r="D581" s="5">
        <v>13</v>
      </c>
      <c r="E581" s="3" t="s">
        <v>649</v>
      </c>
      <c r="F581" s="3" t="s">
        <v>658</v>
      </c>
      <c r="G581" s="3" t="s">
        <v>683</v>
      </c>
      <c r="H581" s="3" t="s">
        <v>701</v>
      </c>
      <c r="I581" s="3" t="s">
        <v>707</v>
      </c>
      <c r="J581" s="3" t="s">
        <v>718</v>
      </c>
      <c r="K581" s="3" t="s">
        <v>729</v>
      </c>
      <c r="L581" s="3" t="s">
        <v>1311</v>
      </c>
      <c r="M581" s="3">
        <v>164.53</v>
      </c>
      <c r="N581" s="3">
        <v>327.72</v>
      </c>
      <c r="O581" s="3">
        <v>6.7000000000000004E-2</v>
      </c>
      <c r="P581" s="3">
        <v>14</v>
      </c>
      <c r="Q581" s="3">
        <v>4280.6786400000001</v>
      </c>
      <c r="R581" s="3">
        <f t="shared" si="45"/>
        <v>2303.42</v>
      </c>
      <c r="S581" s="3">
        <v>1977.25864</v>
      </c>
      <c r="T581" s="3">
        <f t="shared" si="46"/>
        <v>0.46190307805960412</v>
      </c>
      <c r="U581" s="3" t="str">
        <f t="shared" si="47"/>
        <v>Nov-2024</v>
      </c>
      <c r="AB581" s="3">
        <f t="shared" si="48"/>
        <v>2303.42</v>
      </c>
      <c r="AC581" s="3">
        <f t="shared" si="49"/>
        <v>4280.6786400000001</v>
      </c>
    </row>
    <row r="582" spans="1:29" x14ac:dyDescent="0.35">
      <c r="A582" s="3" t="s">
        <v>594</v>
      </c>
      <c r="B582" s="4">
        <v>45849</v>
      </c>
      <c r="C582" s="4">
        <v>45872</v>
      </c>
      <c r="D582" s="5">
        <v>23</v>
      </c>
      <c r="E582" s="3" t="s">
        <v>646</v>
      </c>
      <c r="F582" s="3" t="s">
        <v>650</v>
      </c>
      <c r="G582" s="3" t="s">
        <v>678</v>
      </c>
      <c r="H582" s="3" t="s">
        <v>705</v>
      </c>
      <c r="I582" s="3" t="s">
        <v>707</v>
      </c>
      <c r="J582" s="3" t="s">
        <v>712</v>
      </c>
      <c r="K582" s="3" t="s">
        <v>730</v>
      </c>
      <c r="L582" s="3" t="s">
        <v>1312</v>
      </c>
      <c r="M582" s="3">
        <v>389.93</v>
      </c>
      <c r="N582" s="3">
        <v>486.13</v>
      </c>
      <c r="O582" s="3">
        <v>0.13200000000000001</v>
      </c>
      <c r="P582" s="3">
        <v>17</v>
      </c>
      <c r="Q582" s="3">
        <v>7173.3342799999991</v>
      </c>
      <c r="R582" s="3">
        <f t="shared" si="45"/>
        <v>6628.81</v>
      </c>
      <c r="S582" s="3">
        <v>544.52427999999873</v>
      </c>
      <c r="T582" s="3">
        <f t="shared" si="46"/>
        <v>7.5909508569562828E-2</v>
      </c>
      <c r="U582" s="3" t="str">
        <f t="shared" si="47"/>
        <v>Jul-2025</v>
      </c>
      <c r="AB582" s="3">
        <f t="shared" si="48"/>
        <v>6628.81</v>
      </c>
      <c r="AC582" s="3">
        <f t="shared" si="49"/>
        <v>7173.3342799999991</v>
      </c>
    </row>
    <row r="583" spans="1:29" x14ac:dyDescent="0.35">
      <c r="A583" s="3" t="s">
        <v>595</v>
      </c>
      <c r="B583" s="4">
        <v>45080</v>
      </c>
      <c r="C583" s="4">
        <v>45108</v>
      </c>
      <c r="D583" s="5">
        <v>28</v>
      </c>
      <c r="E583" s="3" t="s">
        <v>648</v>
      </c>
      <c r="F583" s="3" t="s">
        <v>655</v>
      </c>
      <c r="G583" s="3" t="s">
        <v>672</v>
      </c>
      <c r="H583" s="3" t="s">
        <v>705</v>
      </c>
      <c r="I583" s="3" t="s">
        <v>709</v>
      </c>
      <c r="J583" s="3" t="s">
        <v>720</v>
      </c>
      <c r="K583" s="3" t="s">
        <v>727</v>
      </c>
      <c r="L583" s="3" t="s">
        <v>1313</v>
      </c>
      <c r="M583" s="3">
        <v>860.4</v>
      </c>
      <c r="N583" s="3">
        <v>2066.6</v>
      </c>
      <c r="O583" s="3">
        <v>0.01</v>
      </c>
      <c r="P583" s="3">
        <v>3</v>
      </c>
      <c r="Q583" s="3">
        <v>6137.8019999999988</v>
      </c>
      <c r="R583" s="3">
        <f t="shared" si="45"/>
        <v>2581.1999999999998</v>
      </c>
      <c r="S583" s="3">
        <v>3556.601999999999</v>
      </c>
      <c r="T583" s="3">
        <f t="shared" si="46"/>
        <v>0.57945857491004105</v>
      </c>
      <c r="U583" s="3" t="str">
        <f t="shared" si="47"/>
        <v>Jun-2023</v>
      </c>
      <c r="AB583" s="3">
        <f t="shared" si="48"/>
        <v>2581.1999999999998</v>
      </c>
      <c r="AC583" s="3">
        <f t="shared" si="49"/>
        <v>6137.8019999999988</v>
      </c>
    </row>
    <row r="584" spans="1:29" x14ac:dyDescent="0.35">
      <c r="A584" s="3" t="s">
        <v>596</v>
      </c>
      <c r="B584" s="4">
        <v>44955</v>
      </c>
      <c r="C584" s="4">
        <v>44963</v>
      </c>
      <c r="D584" s="5">
        <v>8</v>
      </c>
      <c r="E584" s="3" t="s">
        <v>648</v>
      </c>
      <c r="F584" s="3" t="s">
        <v>655</v>
      </c>
      <c r="G584" s="3" t="s">
        <v>672</v>
      </c>
      <c r="H584" s="3" t="s">
        <v>701</v>
      </c>
      <c r="I584" s="3" t="s">
        <v>709</v>
      </c>
      <c r="J584" s="3" t="s">
        <v>726</v>
      </c>
      <c r="K584" s="3" t="s">
        <v>732</v>
      </c>
      <c r="L584" s="3" t="s">
        <v>1314</v>
      </c>
      <c r="M584" s="3">
        <v>41.84</v>
      </c>
      <c r="N584" s="3">
        <v>86.2</v>
      </c>
      <c r="O584" s="3">
        <v>0.22600000000000001</v>
      </c>
      <c r="P584" s="3">
        <v>27</v>
      </c>
      <c r="Q584" s="3">
        <v>1801.4076000000002</v>
      </c>
      <c r="R584" s="3">
        <f t="shared" si="45"/>
        <v>1129.68</v>
      </c>
      <c r="S584" s="3">
        <v>671.72760000000017</v>
      </c>
      <c r="T584" s="3">
        <f t="shared" si="46"/>
        <v>0.37289039970742882</v>
      </c>
      <c r="U584" s="3" t="str">
        <f t="shared" si="47"/>
        <v>Jan-2023</v>
      </c>
      <c r="AB584" s="3">
        <f t="shared" si="48"/>
        <v>1129.68</v>
      </c>
      <c r="AC584" s="3">
        <f t="shared" si="49"/>
        <v>1861.92</v>
      </c>
    </row>
    <row r="585" spans="1:29" x14ac:dyDescent="0.35">
      <c r="A585" s="3" t="s">
        <v>597</v>
      </c>
      <c r="B585" s="4">
        <v>45541</v>
      </c>
      <c r="C585" s="4">
        <v>45539</v>
      </c>
      <c r="D585" s="5">
        <v>2</v>
      </c>
      <c r="E585" s="3" t="s">
        <v>647</v>
      </c>
      <c r="F585" s="3" t="s">
        <v>652</v>
      </c>
      <c r="G585" s="3" t="s">
        <v>666</v>
      </c>
      <c r="H585" s="3" t="s">
        <v>701</v>
      </c>
      <c r="I585" s="3" t="s">
        <v>711</v>
      </c>
      <c r="J585" s="3" t="s">
        <v>720</v>
      </c>
      <c r="K585" s="3" t="s">
        <v>731</v>
      </c>
      <c r="L585" s="3" t="s">
        <v>1315</v>
      </c>
      <c r="M585" s="3">
        <v>1368.17</v>
      </c>
      <c r="N585" s="3">
        <v>2307.75</v>
      </c>
      <c r="O585" s="3">
        <v>0.16300000000000001</v>
      </c>
      <c r="P585" s="3">
        <v>21</v>
      </c>
      <c r="Q585" s="3">
        <v>40563.321749999996</v>
      </c>
      <c r="R585" s="3">
        <f t="shared" si="45"/>
        <v>28731.57</v>
      </c>
      <c r="S585" s="3">
        <v>11831.751749999996</v>
      </c>
      <c r="T585" s="3">
        <f t="shared" si="46"/>
        <v>0.29168596750831921</v>
      </c>
      <c r="U585" s="3" t="str">
        <f t="shared" si="47"/>
        <v>Sep-2024</v>
      </c>
      <c r="AB585" s="3">
        <f t="shared" si="48"/>
        <v>28731.57</v>
      </c>
      <c r="AC585" s="3">
        <f t="shared" si="49"/>
        <v>40563.321749999996</v>
      </c>
    </row>
    <row r="586" spans="1:29" x14ac:dyDescent="0.35">
      <c r="A586" s="3" t="s">
        <v>598</v>
      </c>
      <c r="B586" s="4">
        <v>45507</v>
      </c>
      <c r="C586" s="4">
        <v>45513</v>
      </c>
      <c r="D586" s="5">
        <v>6</v>
      </c>
      <c r="E586" s="3" t="s">
        <v>646</v>
      </c>
      <c r="F586" s="3" t="s">
        <v>650</v>
      </c>
      <c r="G586" s="3" t="s">
        <v>675</v>
      </c>
      <c r="H586" s="3" t="s">
        <v>704</v>
      </c>
      <c r="I586" s="3" t="s">
        <v>709</v>
      </c>
      <c r="J586" s="3" t="s">
        <v>722</v>
      </c>
      <c r="K586" s="3" t="s">
        <v>731</v>
      </c>
      <c r="L586" s="3" t="s">
        <v>1316</v>
      </c>
      <c r="M586" s="3">
        <v>643.21</v>
      </c>
      <c r="N586" s="3">
        <v>1112.81</v>
      </c>
      <c r="O586" s="3">
        <v>0.14099999999999999</v>
      </c>
      <c r="P586" s="3">
        <v>4</v>
      </c>
      <c r="Q586" s="3">
        <v>3823.6151599999998</v>
      </c>
      <c r="R586" s="3">
        <f t="shared" si="45"/>
        <v>2572.84</v>
      </c>
      <c r="S586" s="3">
        <v>1250.7751599999997</v>
      </c>
      <c r="T586" s="3">
        <f t="shared" si="46"/>
        <v>0.32711847496702562</v>
      </c>
      <c r="U586" s="3" t="str">
        <f t="shared" si="47"/>
        <v>Aug-2024</v>
      </c>
      <c r="AB586" s="3">
        <f t="shared" si="48"/>
        <v>2572.84</v>
      </c>
      <c r="AC586" s="3">
        <f t="shared" si="49"/>
        <v>3823.6151599999998</v>
      </c>
    </row>
    <row r="587" spans="1:29" x14ac:dyDescent="0.35">
      <c r="A587" s="3" t="s">
        <v>599</v>
      </c>
      <c r="B587" s="4">
        <v>45764</v>
      </c>
      <c r="C587" s="4">
        <v>45764</v>
      </c>
      <c r="D587" s="5">
        <v>0</v>
      </c>
      <c r="E587" s="3" t="s">
        <v>648</v>
      </c>
      <c r="F587" s="3" t="s">
        <v>655</v>
      </c>
      <c r="G587" s="3" t="s">
        <v>670</v>
      </c>
      <c r="H587" s="3" t="s">
        <v>701</v>
      </c>
      <c r="I587" s="3" t="s">
        <v>710</v>
      </c>
      <c r="J587" s="3" t="s">
        <v>716</v>
      </c>
      <c r="K587" s="3" t="s">
        <v>730</v>
      </c>
      <c r="L587" s="3" t="s">
        <v>1317</v>
      </c>
      <c r="M587" s="3">
        <v>719.41</v>
      </c>
      <c r="N587" s="3">
        <v>1125.99</v>
      </c>
      <c r="O587" s="3">
        <v>4.1000000000000002E-2</v>
      </c>
      <c r="P587" s="3">
        <v>21</v>
      </c>
      <c r="Q587" s="3">
        <v>22676.312610000001</v>
      </c>
      <c r="R587" s="3">
        <f t="shared" si="45"/>
        <v>15107.609999999999</v>
      </c>
      <c r="S587" s="3">
        <v>7568.7026100000021</v>
      </c>
      <c r="T587" s="3">
        <f t="shared" si="46"/>
        <v>0.33377131194876403</v>
      </c>
      <c r="U587" s="3" t="str">
        <f t="shared" si="47"/>
        <v>Apr-2025</v>
      </c>
      <c r="AB587" s="3">
        <f t="shared" si="48"/>
        <v>15107.609999999999</v>
      </c>
      <c r="AC587" s="3">
        <f t="shared" si="49"/>
        <v>22676.312610000001</v>
      </c>
    </row>
    <row r="588" spans="1:29" x14ac:dyDescent="0.35">
      <c r="A588" s="3" t="s">
        <v>600</v>
      </c>
      <c r="B588" s="4">
        <v>45049</v>
      </c>
      <c r="C588" s="4">
        <v>45062</v>
      </c>
      <c r="D588" s="5">
        <v>13</v>
      </c>
      <c r="E588" s="3" t="s">
        <v>648</v>
      </c>
      <c r="F588" s="3" t="s">
        <v>660</v>
      </c>
      <c r="G588" s="3" t="s">
        <v>700</v>
      </c>
      <c r="H588" s="3" t="s">
        <v>701</v>
      </c>
      <c r="I588" s="3" t="s">
        <v>709</v>
      </c>
      <c r="J588" s="3" t="s">
        <v>716</v>
      </c>
      <c r="K588" s="3" t="s">
        <v>730</v>
      </c>
      <c r="L588" s="3" t="s">
        <v>1318</v>
      </c>
      <c r="M588" s="3">
        <v>64.5</v>
      </c>
      <c r="N588" s="3">
        <v>123.62</v>
      </c>
      <c r="O588" s="3">
        <v>0</v>
      </c>
      <c r="P588" s="3">
        <v>3</v>
      </c>
      <c r="Q588" s="3">
        <v>370.86</v>
      </c>
      <c r="R588" s="3">
        <f t="shared" si="45"/>
        <v>193.5</v>
      </c>
      <c r="S588" s="3">
        <v>177.36</v>
      </c>
      <c r="T588" s="3">
        <f t="shared" si="46"/>
        <v>0.47823976702798904</v>
      </c>
      <c r="U588" s="3" t="str">
        <f t="shared" si="47"/>
        <v>May-2023</v>
      </c>
      <c r="AB588" s="3">
        <f t="shared" si="48"/>
        <v>193.5</v>
      </c>
      <c r="AC588" s="3">
        <f t="shared" si="49"/>
        <v>370.86</v>
      </c>
    </row>
    <row r="589" spans="1:29" x14ac:dyDescent="0.35">
      <c r="A589" s="3" t="s">
        <v>601</v>
      </c>
      <c r="B589" s="4">
        <v>45364</v>
      </c>
      <c r="C589" s="4">
        <v>45388</v>
      </c>
      <c r="D589" s="5">
        <v>24</v>
      </c>
      <c r="E589" s="3" t="s">
        <v>646</v>
      </c>
      <c r="F589" s="3" t="s">
        <v>651</v>
      </c>
      <c r="G589" s="3" t="s">
        <v>669</v>
      </c>
      <c r="H589" s="3" t="s">
        <v>704</v>
      </c>
      <c r="I589" s="3" t="s">
        <v>710</v>
      </c>
      <c r="J589" s="3" t="s">
        <v>716</v>
      </c>
      <c r="K589" s="3" t="s">
        <v>727</v>
      </c>
      <c r="L589" s="3" t="s">
        <v>1319</v>
      </c>
      <c r="M589" s="3">
        <v>1232.78</v>
      </c>
      <c r="N589" s="3">
        <v>1731.75</v>
      </c>
      <c r="O589" s="3">
        <v>9.2999999999999999E-2</v>
      </c>
      <c r="P589" s="3">
        <v>16</v>
      </c>
      <c r="Q589" s="3">
        <v>25131.155999999999</v>
      </c>
      <c r="R589" s="3">
        <f t="shared" si="45"/>
        <v>19724.48</v>
      </c>
      <c r="S589" s="3">
        <v>5406.6759999999995</v>
      </c>
      <c r="T589" s="3">
        <f t="shared" si="46"/>
        <v>0.21513837246484005</v>
      </c>
      <c r="U589" s="3" t="str">
        <f t="shared" si="47"/>
        <v>Mar-2024</v>
      </c>
      <c r="AB589" s="3">
        <f t="shared" si="48"/>
        <v>19724.48</v>
      </c>
      <c r="AC589" s="3">
        <f t="shared" si="49"/>
        <v>25131.155999999999</v>
      </c>
    </row>
    <row r="590" spans="1:29" x14ac:dyDescent="0.35">
      <c r="A590" s="3" t="s">
        <v>602</v>
      </c>
      <c r="B590" s="4">
        <v>45459</v>
      </c>
      <c r="C590" s="4">
        <v>45464</v>
      </c>
      <c r="D590" s="5">
        <v>5</v>
      </c>
      <c r="E590" s="3" t="s">
        <v>647</v>
      </c>
      <c r="F590" s="3" t="s">
        <v>652</v>
      </c>
      <c r="G590" s="3" t="s">
        <v>689</v>
      </c>
      <c r="H590" s="3" t="s">
        <v>705</v>
      </c>
      <c r="I590" s="3" t="s">
        <v>710</v>
      </c>
      <c r="J590" s="3" t="s">
        <v>721</v>
      </c>
      <c r="K590" s="3" t="s">
        <v>730</v>
      </c>
      <c r="L590" s="3" t="s">
        <v>1320</v>
      </c>
      <c r="M590" s="3">
        <v>1367.13</v>
      </c>
      <c r="N590" s="3">
        <v>3062.01</v>
      </c>
      <c r="O590" s="3">
        <v>0.10299999999999999</v>
      </c>
      <c r="P590" s="3">
        <v>25</v>
      </c>
      <c r="Q590" s="3">
        <v>68665.574250000005</v>
      </c>
      <c r="R590" s="3">
        <f t="shared" si="45"/>
        <v>34178.25</v>
      </c>
      <c r="S590" s="3">
        <v>34487.324250000005</v>
      </c>
      <c r="T590" s="3">
        <f t="shared" si="46"/>
        <v>0.50225057645971705</v>
      </c>
      <c r="U590" s="3" t="str">
        <f t="shared" si="47"/>
        <v>Jun-2024</v>
      </c>
      <c r="AB590" s="3">
        <f t="shared" si="48"/>
        <v>34178.25</v>
      </c>
      <c r="AC590" s="3">
        <f t="shared" si="49"/>
        <v>68665.574250000005</v>
      </c>
    </row>
    <row r="591" spans="1:29" x14ac:dyDescent="0.35">
      <c r="A591" s="3" t="s">
        <v>603</v>
      </c>
      <c r="B591" s="4">
        <v>45703</v>
      </c>
      <c r="C591" s="4">
        <v>45715</v>
      </c>
      <c r="D591" s="5">
        <v>12</v>
      </c>
      <c r="E591" s="3" t="s">
        <v>649</v>
      </c>
      <c r="F591" s="3" t="s">
        <v>657</v>
      </c>
      <c r="G591" s="3" t="s">
        <v>679</v>
      </c>
      <c r="H591" s="3" t="s">
        <v>703</v>
      </c>
      <c r="I591" s="3" t="s">
        <v>711</v>
      </c>
      <c r="J591" s="3" t="s">
        <v>723</v>
      </c>
      <c r="K591" s="3" t="s">
        <v>733</v>
      </c>
      <c r="L591" s="3" t="s">
        <v>1321</v>
      </c>
      <c r="M591" s="3">
        <v>1027.26</v>
      </c>
      <c r="N591" s="3">
        <v>2200.41</v>
      </c>
      <c r="O591" s="3">
        <v>8.7999999999999995E-2</v>
      </c>
      <c r="P591" s="3">
        <v>6</v>
      </c>
      <c r="Q591" s="3">
        <v>12040.64352</v>
      </c>
      <c r="R591" s="3">
        <f t="shared" si="45"/>
        <v>6163.5599999999995</v>
      </c>
      <c r="S591" s="3">
        <v>5877.0835200000001</v>
      </c>
      <c r="T591" s="3">
        <f t="shared" si="46"/>
        <v>0.48810377204822358</v>
      </c>
      <c r="U591" s="3" t="str">
        <f t="shared" si="47"/>
        <v>Feb-2025</v>
      </c>
      <c r="AB591" s="3">
        <f t="shared" si="48"/>
        <v>6163.5599999999995</v>
      </c>
      <c r="AC591" s="3">
        <f t="shared" si="49"/>
        <v>12040.64352</v>
      </c>
    </row>
    <row r="592" spans="1:29" x14ac:dyDescent="0.35">
      <c r="A592" s="3" t="s">
        <v>604</v>
      </c>
      <c r="B592" s="4">
        <v>45019</v>
      </c>
      <c r="C592" s="4">
        <v>45032</v>
      </c>
      <c r="D592" s="5">
        <v>13</v>
      </c>
      <c r="E592" s="3" t="s">
        <v>649</v>
      </c>
      <c r="F592" s="3" t="s">
        <v>657</v>
      </c>
      <c r="G592" s="3" t="s">
        <v>673</v>
      </c>
      <c r="H592" s="3" t="s">
        <v>703</v>
      </c>
      <c r="I592" s="3" t="s">
        <v>709</v>
      </c>
      <c r="J592" s="3" t="s">
        <v>724</v>
      </c>
      <c r="K592" s="3" t="s">
        <v>733</v>
      </c>
      <c r="L592" s="3" t="s">
        <v>1322</v>
      </c>
      <c r="M592" s="3">
        <v>790.54</v>
      </c>
      <c r="N592" s="3">
        <v>601.49</v>
      </c>
      <c r="O592" s="3">
        <v>0</v>
      </c>
      <c r="P592" s="3">
        <v>15</v>
      </c>
      <c r="Q592" s="3">
        <v>9022.35</v>
      </c>
      <c r="R592" s="3">
        <f t="shared" si="45"/>
        <v>11858.099999999999</v>
      </c>
      <c r="S592" s="3">
        <v>2835.7499999999982</v>
      </c>
      <c r="T592" s="3">
        <f t="shared" si="46"/>
        <v>0.31430281467688553</v>
      </c>
      <c r="U592" s="3" t="str">
        <f t="shared" si="47"/>
        <v>Apr-2023</v>
      </c>
      <c r="AB592" s="3">
        <f t="shared" si="48"/>
        <v>11858.099999999999</v>
      </c>
      <c r="AC592" s="3">
        <f t="shared" si="49"/>
        <v>9022.35</v>
      </c>
    </row>
    <row r="593" spans="1:29" x14ac:dyDescent="0.35">
      <c r="A593" s="3" t="s">
        <v>605</v>
      </c>
      <c r="B593" s="4">
        <v>45899</v>
      </c>
      <c r="C593" s="4">
        <v>45922</v>
      </c>
      <c r="D593" s="5">
        <v>23</v>
      </c>
      <c r="E593" s="3" t="s">
        <v>649</v>
      </c>
      <c r="F593" s="3" t="s">
        <v>657</v>
      </c>
      <c r="G593" s="3" t="s">
        <v>673</v>
      </c>
      <c r="H593" s="3" t="s">
        <v>701</v>
      </c>
      <c r="I593" s="3" t="s">
        <v>711</v>
      </c>
      <c r="J593" s="3" t="s">
        <v>718</v>
      </c>
      <c r="K593" s="3" t="s">
        <v>727</v>
      </c>
      <c r="L593" s="3" t="s">
        <v>1323</v>
      </c>
      <c r="M593" s="3">
        <v>663.9</v>
      </c>
      <c r="N593" s="3">
        <v>947.77</v>
      </c>
      <c r="O593" s="3">
        <v>0.17399999999999999</v>
      </c>
      <c r="P593" s="3">
        <v>15</v>
      </c>
      <c r="Q593" s="3">
        <v>11742.8703</v>
      </c>
      <c r="R593" s="3">
        <f t="shared" si="45"/>
        <v>9958.5</v>
      </c>
      <c r="S593" s="3">
        <v>1784.3703000000005</v>
      </c>
      <c r="T593" s="3">
        <f t="shared" si="46"/>
        <v>0.1519535049280073</v>
      </c>
      <c r="U593" s="3" t="str">
        <f t="shared" si="47"/>
        <v>Aug-2025</v>
      </c>
      <c r="AB593" s="3">
        <f t="shared" si="48"/>
        <v>9958.5</v>
      </c>
      <c r="AC593" s="3">
        <f t="shared" si="49"/>
        <v>11742.8703</v>
      </c>
    </row>
    <row r="594" spans="1:29" x14ac:dyDescent="0.35">
      <c r="A594" s="3" t="s">
        <v>606</v>
      </c>
      <c r="B594" s="4">
        <v>44984</v>
      </c>
      <c r="C594" s="4">
        <v>44983</v>
      </c>
      <c r="D594" s="5">
        <v>1</v>
      </c>
      <c r="E594" s="3" t="s">
        <v>648</v>
      </c>
      <c r="F594" s="3" t="s">
        <v>660</v>
      </c>
      <c r="G594" s="3" t="s">
        <v>686</v>
      </c>
      <c r="H594" s="3" t="s">
        <v>703</v>
      </c>
      <c r="I594" s="3" t="s">
        <v>708</v>
      </c>
      <c r="J594" s="3" t="s">
        <v>716</v>
      </c>
      <c r="K594" s="3" t="s">
        <v>729</v>
      </c>
      <c r="L594" s="3" t="s">
        <v>1324</v>
      </c>
      <c r="M594" s="3">
        <v>1015.91</v>
      </c>
      <c r="N594" s="3">
        <v>2331.48</v>
      </c>
      <c r="O594" s="3">
        <v>0.14599999999999999</v>
      </c>
      <c r="P594" s="3">
        <v>26</v>
      </c>
      <c r="Q594" s="3">
        <v>51768.181920000003</v>
      </c>
      <c r="R594" s="3">
        <f t="shared" si="45"/>
        <v>26413.66</v>
      </c>
      <c r="S594" s="3">
        <v>25354.521920000003</v>
      </c>
      <c r="T594" s="3">
        <f t="shared" si="46"/>
        <v>0.48977037592669626</v>
      </c>
      <c r="U594" s="3" t="str">
        <f t="shared" si="47"/>
        <v>Feb-2023</v>
      </c>
      <c r="AB594" s="3">
        <f t="shared" si="48"/>
        <v>26413.66</v>
      </c>
      <c r="AC594" s="3">
        <f t="shared" si="49"/>
        <v>51768.181920000003</v>
      </c>
    </row>
    <row r="595" spans="1:29" x14ac:dyDescent="0.35">
      <c r="A595" s="3" t="s">
        <v>607</v>
      </c>
      <c r="B595" s="4">
        <v>45504</v>
      </c>
      <c r="C595" s="4">
        <v>45519</v>
      </c>
      <c r="D595" s="5">
        <v>15</v>
      </c>
      <c r="E595" s="3" t="s">
        <v>647</v>
      </c>
      <c r="F595" s="3" t="s">
        <v>652</v>
      </c>
      <c r="G595" s="3" t="s">
        <v>689</v>
      </c>
      <c r="H595" s="3" t="s">
        <v>701</v>
      </c>
      <c r="I595" s="3" t="s">
        <v>709</v>
      </c>
      <c r="J595" s="3" t="s">
        <v>721</v>
      </c>
      <c r="K595" s="3" t="s">
        <v>732</v>
      </c>
      <c r="L595" s="3" t="s">
        <v>1325</v>
      </c>
      <c r="M595" s="3">
        <v>1252.52</v>
      </c>
      <c r="N595" s="3">
        <v>1417.24</v>
      </c>
      <c r="O595" s="3">
        <v>0.192</v>
      </c>
      <c r="P595" s="3">
        <v>5</v>
      </c>
      <c r="Q595" s="3">
        <v>5725.6496000000006</v>
      </c>
      <c r="R595" s="3">
        <f t="shared" si="45"/>
        <v>6262.6</v>
      </c>
      <c r="S595" s="3">
        <v>536.95039999999972</v>
      </c>
      <c r="T595" s="3">
        <f t="shared" si="46"/>
        <v>9.3779821943696953E-2</v>
      </c>
      <c r="U595" s="3" t="str">
        <f t="shared" si="47"/>
        <v>Jul-2024</v>
      </c>
      <c r="AB595" s="3">
        <f t="shared" si="48"/>
        <v>6262.6</v>
      </c>
      <c r="AC595" s="3">
        <f t="shared" si="49"/>
        <v>5725.6496000000006</v>
      </c>
    </row>
    <row r="596" spans="1:29" x14ac:dyDescent="0.35">
      <c r="A596" s="3" t="s">
        <v>608</v>
      </c>
      <c r="B596" s="4">
        <v>45823</v>
      </c>
      <c r="C596" s="4">
        <v>45850</v>
      </c>
      <c r="D596" s="5">
        <v>27</v>
      </c>
      <c r="E596" s="3" t="s">
        <v>649</v>
      </c>
      <c r="F596" s="3" t="s">
        <v>657</v>
      </c>
      <c r="G596" s="3" t="s">
        <v>673</v>
      </c>
      <c r="H596" s="3" t="s">
        <v>704</v>
      </c>
      <c r="I596" s="3" t="s">
        <v>711</v>
      </c>
      <c r="J596" s="3" t="s">
        <v>712</v>
      </c>
      <c r="K596" s="3" t="s">
        <v>733</v>
      </c>
      <c r="L596" s="3" t="s">
        <v>1326</v>
      </c>
      <c r="M596" s="3">
        <v>318.83</v>
      </c>
      <c r="N596" s="3">
        <v>699.5</v>
      </c>
      <c r="O596" s="3">
        <v>0.08</v>
      </c>
      <c r="P596" s="3">
        <v>13</v>
      </c>
      <c r="Q596" s="3">
        <v>8366.02</v>
      </c>
      <c r="R596" s="3">
        <f t="shared" si="45"/>
        <v>4144.79</v>
      </c>
      <c r="S596" s="3">
        <v>4221.2300000000005</v>
      </c>
      <c r="T596" s="3">
        <f t="shared" si="46"/>
        <v>0.50456848059172699</v>
      </c>
      <c r="U596" s="3" t="str">
        <f t="shared" si="47"/>
        <v>Jun-2025</v>
      </c>
      <c r="AB596" s="3">
        <f t="shared" si="48"/>
        <v>4144.79</v>
      </c>
      <c r="AC596" s="3">
        <f t="shared" si="49"/>
        <v>8366.02</v>
      </c>
    </row>
    <row r="597" spans="1:29" x14ac:dyDescent="0.35">
      <c r="A597" s="3" t="s">
        <v>609</v>
      </c>
      <c r="B597" s="4">
        <v>45473</v>
      </c>
      <c r="C597" s="4">
        <v>45494</v>
      </c>
      <c r="D597" s="5">
        <v>21</v>
      </c>
      <c r="E597" s="3" t="s">
        <v>646</v>
      </c>
      <c r="F597" s="3" t="s">
        <v>650</v>
      </c>
      <c r="G597" s="3" t="s">
        <v>662</v>
      </c>
      <c r="H597" s="3" t="s">
        <v>705</v>
      </c>
      <c r="I597" s="3" t="s">
        <v>707</v>
      </c>
      <c r="J597" s="3" t="s">
        <v>723</v>
      </c>
      <c r="K597" s="3" t="s">
        <v>731</v>
      </c>
      <c r="L597" s="3" t="s">
        <v>1327</v>
      </c>
      <c r="M597" s="3">
        <v>753.43</v>
      </c>
      <c r="N597" s="3">
        <v>1787.2</v>
      </c>
      <c r="O597" s="3">
        <v>7.2999999999999995E-2</v>
      </c>
      <c r="P597" s="3">
        <v>9</v>
      </c>
      <c r="Q597" s="3">
        <v>14910.609600000002</v>
      </c>
      <c r="R597" s="3">
        <f t="shared" si="45"/>
        <v>6780.87</v>
      </c>
      <c r="S597" s="3">
        <v>8129.7396000000017</v>
      </c>
      <c r="T597" s="3">
        <f t="shared" si="46"/>
        <v>0.54523187301476939</v>
      </c>
      <c r="U597" s="3" t="str">
        <f t="shared" si="47"/>
        <v>Jun-2024</v>
      </c>
      <c r="AB597" s="3">
        <f t="shared" si="48"/>
        <v>6780.87</v>
      </c>
      <c r="AC597" s="3">
        <f t="shared" si="49"/>
        <v>14910.609600000002</v>
      </c>
    </row>
    <row r="598" spans="1:29" x14ac:dyDescent="0.35">
      <c r="A598" s="3" t="s">
        <v>610</v>
      </c>
      <c r="B598" s="4">
        <v>45705</v>
      </c>
      <c r="C598" s="4">
        <v>45703</v>
      </c>
      <c r="D598" s="5">
        <v>2</v>
      </c>
      <c r="E598" s="3" t="s">
        <v>648</v>
      </c>
      <c r="F598" s="3" t="s">
        <v>653</v>
      </c>
      <c r="G598" s="3" t="s">
        <v>667</v>
      </c>
      <c r="H598" s="3" t="s">
        <v>705</v>
      </c>
      <c r="I598" s="3" t="s">
        <v>707</v>
      </c>
      <c r="J598" s="3" t="s">
        <v>726</v>
      </c>
      <c r="K598" s="3" t="s">
        <v>727</v>
      </c>
      <c r="L598" s="3" t="s">
        <v>1328</v>
      </c>
      <c r="M598" s="3">
        <v>1133.47</v>
      </c>
      <c r="N598" s="3">
        <v>1698.75</v>
      </c>
      <c r="O598" s="3">
        <v>4.2999999999999997E-2</v>
      </c>
      <c r="P598" s="3">
        <v>5</v>
      </c>
      <c r="Q598" s="3">
        <v>8128.5187499999993</v>
      </c>
      <c r="R598" s="3">
        <f t="shared" si="45"/>
        <v>5667.35</v>
      </c>
      <c r="S598" s="3">
        <v>2461.1687499999989</v>
      </c>
      <c r="T598" s="3">
        <f t="shared" si="46"/>
        <v>0.30278194904821976</v>
      </c>
      <c r="U598" s="3" t="str">
        <f t="shared" si="47"/>
        <v>Feb-2025</v>
      </c>
      <c r="AB598" s="3">
        <f t="shared" si="48"/>
        <v>5667.35</v>
      </c>
      <c r="AC598" s="3">
        <f t="shared" si="49"/>
        <v>8128.5187499999993</v>
      </c>
    </row>
    <row r="599" spans="1:29" x14ac:dyDescent="0.35">
      <c r="A599" s="3" t="s">
        <v>611</v>
      </c>
      <c r="B599" s="4">
        <v>44933</v>
      </c>
      <c r="C599" s="4">
        <v>44956</v>
      </c>
      <c r="D599" s="5">
        <v>23</v>
      </c>
      <c r="E599" s="3" t="s">
        <v>646</v>
      </c>
      <c r="F599" s="3" t="s">
        <v>661</v>
      </c>
      <c r="G599" s="3" t="s">
        <v>695</v>
      </c>
      <c r="H599" s="3" t="s">
        <v>704</v>
      </c>
      <c r="I599" s="3" t="s">
        <v>708</v>
      </c>
      <c r="J599" s="3" t="s">
        <v>720</v>
      </c>
      <c r="K599" s="3" t="s">
        <v>728</v>
      </c>
      <c r="L599" s="3" t="s">
        <v>1329</v>
      </c>
      <c r="M599" s="3">
        <v>299.02</v>
      </c>
      <c r="N599" s="3">
        <v>724.7</v>
      </c>
      <c r="O599" s="3">
        <v>0.14000000000000001</v>
      </c>
      <c r="P599" s="3">
        <v>5</v>
      </c>
      <c r="Q599" s="3">
        <v>3116.21</v>
      </c>
      <c r="R599" s="3">
        <f t="shared" si="45"/>
        <v>1495.1</v>
      </c>
      <c r="S599" s="3">
        <v>1621.1100000000001</v>
      </c>
      <c r="T599" s="3">
        <f t="shared" si="46"/>
        <v>0.52021847051386139</v>
      </c>
      <c r="U599" s="3" t="str">
        <f t="shared" si="47"/>
        <v>Jan-2023</v>
      </c>
      <c r="AB599" s="3">
        <f t="shared" si="48"/>
        <v>1495.1</v>
      </c>
      <c r="AC599" s="3">
        <f t="shared" si="49"/>
        <v>3116.21</v>
      </c>
    </row>
    <row r="600" spans="1:29" x14ac:dyDescent="0.35">
      <c r="A600" s="3" t="s">
        <v>612</v>
      </c>
      <c r="B600" s="4">
        <v>45726</v>
      </c>
      <c r="C600" s="4">
        <v>45751</v>
      </c>
      <c r="D600" s="5">
        <v>25</v>
      </c>
      <c r="E600" s="3" t="s">
        <v>647</v>
      </c>
      <c r="F600" s="3" t="s">
        <v>652</v>
      </c>
      <c r="G600" s="3" t="s">
        <v>666</v>
      </c>
      <c r="H600" s="3" t="s">
        <v>701</v>
      </c>
      <c r="I600" s="3" t="s">
        <v>711</v>
      </c>
      <c r="J600" s="3" t="s">
        <v>722</v>
      </c>
      <c r="K600" s="3" t="s">
        <v>728</v>
      </c>
      <c r="L600" s="3" t="s">
        <v>1330</v>
      </c>
      <c r="M600" s="3">
        <v>783.72</v>
      </c>
      <c r="N600" s="3">
        <v>1355.94</v>
      </c>
      <c r="O600" s="3">
        <v>0.187</v>
      </c>
      <c r="P600" s="3">
        <v>4</v>
      </c>
      <c r="Q600" s="3">
        <v>4409.5168800000001</v>
      </c>
      <c r="R600" s="3">
        <f t="shared" si="45"/>
        <v>3134.88</v>
      </c>
      <c r="S600" s="3">
        <v>1274.63688</v>
      </c>
      <c r="T600" s="3">
        <f t="shared" si="46"/>
        <v>0.28906497348525856</v>
      </c>
      <c r="U600" s="3" t="str">
        <f t="shared" si="47"/>
        <v>Mar-2025</v>
      </c>
      <c r="AB600" s="3">
        <f t="shared" si="48"/>
        <v>3134.88</v>
      </c>
      <c r="AC600" s="3">
        <f t="shared" si="49"/>
        <v>4409.5168800000001</v>
      </c>
    </row>
    <row r="601" spans="1:29" x14ac:dyDescent="0.35">
      <c r="A601" s="3" t="s">
        <v>613</v>
      </c>
      <c r="B601" s="4">
        <v>45521</v>
      </c>
      <c r="C601" s="4">
        <v>45519</v>
      </c>
      <c r="D601" s="5">
        <v>2</v>
      </c>
      <c r="E601" s="3" t="s">
        <v>648</v>
      </c>
      <c r="F601" s="3" t="s">
        <v>655</v>
      </c>
      <c r="G601" s="3" t="s">
        <v>692</v>
      </c>
      <c r="H601" s="3" t="s">
        <v>704</v>
      </c>
      <c r="I601" s="3" t="s">
        <v>711</v>
      </c>
      <c r="J601" s="3" t="s">
        <v>724</v>
      </c>
      <c r="K601" s="3" t="s">
        <v>732</v>
      </c>
      <c r="L601" s="3" t="s">
        <v>1331</v>
      </c>
      <c r="M601" s="3">
        <v>165.3</v>
      </c>
      <c r="N601" s="3">
        <v>275.07</v>
      </c>
      <c r="O601" s="3">
        <v>0.13300000000000001</v>
      </c>
      <c r="P601" s="3">
        <v>25</v>
      </c>
      <c r="Q601" s="3">
        <v>5962.1422499999999</v>
      </c>
      <c r="R601" s="3">
        <f t="shared" si="45"/>
        <v>4132.5</v>
      </c>
      <c r="S601" s="3">
        <v>1829.6422499999999</v>
      </c>
      <c r="T601" s="3">
        <f t="shared" si="46"/>
        <v>0.30687665159280625</v>
      </c>
      <c r="U601" s="3" t="str">
        <f t="shared" si="47"/>
        <v>Aug-2024</v>
      </c>
      <c r="AB601" s="3">
        <f t="shared" si="48"/>
        <v>4132.5</v>
      </c>
      <c r="AC601" s="3">
        <f t="shared" si="49"/>
        <v>5962.1422499999999</v>
      </c>
    </row>
    <row r="602" spans="1:29" x14ac:dyDescent="0.35">
      <c r="A602" s="3" t="s">
        <v>614</v>
      </c>
      <c r="B602" s="4">
        <v>45360</v>
      </c>
      <c r="C602" s="4">
        <v>45373</v>
      </c>
      <c r="D602" s="5">
        <v>13</v>
      </c>
      <c r="E602" s="3" t="s">
        <v>649</v>
      </c>
      <c r="F602" s="3" t="s">
        <v>658</v>
      </c>
      <c r="G602" s="3" t="s">
        <v>693</v>
      </c>
      <c r="H602" s="3" t="s">
        <v>704</v>
      </c>
      <c r="I602" s="3" t="s">
        <v>708</v>
      </c>
      <c r="J602" s="3" t="s">
        <v>718</v>
      </c>
      <c r="K602" s="3" t="s">
        <v>731</v>
      </c>
      <c r="L602" s="3" t="s">
        <v>1332</v>
      </c>
      <c r="M602" s="3">
        <v>985.45</v>
      </c>
      <c r="N602" s="3">
        <v>1802.44</v>
      </c>
      <c r="O602" s="3">
        <v>8.9999999999999993E-3</v>
      </c>
      <c r="P602" s="3">
        <v>19</v>
      </c>
      <c r="Q602" s="3">
        <v>33938.142760000002</v>
      </c>
      <c r="R602" s="3">
        <f t="shared" si="45"/>
        <v>18723.55</v>
      </c>
      <c r="S602" s="3">
        <v>15214.592760000003</v>
      </c>
      <c r="T602" s="3">
        <f t="shared" si="46"/>
        <v>0.44830363486867486</v>
      </c>
      <c r="U602" s="3" t="str">
        <f t="shared" si="47"/>
        <v>Mar-2024</v>
      </c>
      <c r="AB602" s="3">
        <f t="shared" si="48"/>
        <v>18723.55</v>
      </c>
      <c r="AC602" s="3">
        <f t="shared" si="49"/>
        <v>33938.142760000002</v>
      </c>
    </row>
    <row r="603" spans="1:29" x14ac:dyDescent="0.35">
      <c r="A603" s="3" t="s">
        <v>615</v>
      </c>
      <c r="B603" s="4">
        <v>45523</v>
      </c>
      <c r="C603" s="4">
        <v>45537</v>
      </c>
      <c r="D603" s="5">
        <v>14</v>
      </c>
      <c r="E603" s="3" t="s">
        <v>648</v>
      </c>
      <c r="F603" s="3" t="s">
        <v>653</v>
      </c>
      <c r="G603" s="3" t="s">
        <v>667</v>
      </c>
      <c r="H603" s="3" t="s">
        <v>704</v>
      </c>
      <c r="I603" s="3" t="s">
        <v>710</v>
      </c>
      <c r="J603" s="3" t="s">
        <v>712</v>
      </c>
      <c r="K603" s="3" t="s">
        <v>728</v>
      </c>
      <c r="L603" s="3" t="s">
        <v>1333</v>
      </c>
      <c r="M603" s="3">
        <v>1337.01</v>
      </c>
      <c r="N603" s="3">
        <v>1269.78</v>
      </c>
      <c r="O603" s="3">
        <v>0.16</v>
      </c>
      <c r="P603" s="3">
        <v>7</v>
      </c>
      <c r="Q603" s="3">
        <v>7466.3063999999986</v>
      </c>
      <c r="R603" s="3">
        <f t="shared" si="45"/>
        <v>9359.07</v>
      </c>
      <c r="S603" s="3">
        <v>1892.7636000000011</v>
      </c>
      <c r="T603" s="3">
        <f t="shared" si="46"/>
        <v>0.25350735672996244</v>
      </c>
      <c r="U603" s="3" t="str">
        <f t="shared" si="47"/>
        <v>Aug-2024</v>
      </c>
      <c r="AB603" s="3">
        <f t="shared" si="48"/>
        <v>9359.07</v>
      </c>
      <c r="AC603" s="3">
        <f t="shared" si="49"/>
        <v>7466.3063999999986</v>
      </c>
    </row>
    <row r="604" spans="1:29" x14ac:dyDescent="0.35">
      <c r="A604" s="3" t="s">
        <v>616</v>
      </c>
      <c r="B604" s="4">
        <v>45880</v>
      </c>
      <c r="C604" s="4">
        <v>45897</v>
      </c>
      <c r="D604" s="5">
        <v>17</v>
      </c>
      <c r="E604" s="3" t="s">
        <v>649</v>
      </c>
      <c r="F604" s="3" t="s">
        <v>657</v>
      </c>
      <c r="G604" s="3" t="s">
        <v>690</v>
      </c>
      <c r="H604" s="3" t="s">
        <v>702</v>
      </c>
      <c r="I604" s="3" t="s">
        <v>708</v>
      </c>
      <c r="J604" s="3" t="s">
        <v>721</v>
      </c>
      <c r="K604" s="3" t="s">
        <v>729</v>
      </c>
      <c r="L604" s="3" t="s">
        <v>1334</v>
      </c>
      <c r="M604" s="3">
        <v>416.16</v>
      </c>
      <c r="N604" s="3">
        <v>571.9</v>
      </c>
      <c r="O604" s="3">
        <v>7.0999999999999994E-2</v>
      </c>
      <c r="P604" s="3">
        <v>2</v>
      </c>
      <c r="Q604" s="3">
        <v>1062.5902000000001</v>
      </c>
      <c r="R604" s="3">
        <f t="shared" si="45"/>
        <v>832.32</v>
      </c>
      <c r="S604" s="3">
        <v>230.27020000000005</v>
      </c>
      <c r="T604" s="3">
        <f t="shared" si="46"/>
        <v>0.21670649701079497</v>
      </c>
      <c r="U604" s="3" t="str">
        <f t="shared" si="47"/>
        <v>Aug-2025</v>
      </c>
      <c r="AB604" s="3">
        <f t="shared" si="48"/>
        <v>832.32</v>
      </c>
      <c r="AC604" s="3">
        <f t="shared" si="49"/>
        <v>1062.5902000000001</v>
      </c>
    </row>
    <row r="605" spans="1:29" x14ac:dyDescent="0.35">
      <c r="A605" s="3" t="s">
        <v>617</v>
      </c>
      <c r="B605" s="4">
        <v>45793</v>
      </c>
      <c r="C605" s="4">
        <v>45795</v>
      </c>
      <c r="D605" s="5">
        <v>2</v>
      </c>
      <c r="E605" s="3" t="s">
        <v>647</v>
      </c>
      <c r="F605" s="3" t="s">
        <v>652</v>
      </c>
      <c r="G605" s="3" t="s">
        <v>689</v>
      </c>
      <c r="H605" s="3" t="s">
        <v>706</v>
      </c>
      <c r="I605" s="3" t="s">
        <v>707</v>
      </c>
      <c r="J605" s="3" t="s">
        <v>713</v>
      </c>
      <c r="K605" s="3" t="s">
        <v>728</v>
      </c>
      <c r="L605" s="3" t="s">
        <v>1335</v>
      </c>
      <c r="M605" s="3">
        <v>1144.3800000000001</v>
      </c>
      <c r="N605" s="3">
        <v>2755.04</v>
      </c>
      <c r="O605" s="3">
        <v>0.15</v>
      </c>
      <c r="P605" s="3">
        <v>17</v>
      </c>
      <c r="Q605" s="3">
        <v>39810.328000000001</v>
      </c>
      <c r="R605" s="3">
        <f t="shared" si="45"/>
        <v>19454.460000000003</v>
      </c>
      <c r="S605" s="3">
        <v>20355.867999999999</v>
      </c>
      <c r="T605" s="3">
        <f t="shared" si="46"/>
        <v>0.51132128326096682</v>
      </c>
      <c r="U605" s="3" t="str">
        <f t="shared" si="47"/>
        <v>May-2025</v>
      </c>
      <c r="AB605" s="3">
        <f t="shared" si="48"/>
        <v>19454.460000000003</v>
      </c>
      <c r="AC605" s="3">
        <f t="shared" si="49"/>
        <v>39810.328000000001</v>
      </c>
    </row>
    <row r="606" spans="1:29" x14ac:dyDescent="0.35">
      <c r="A606" s="3" t="s">
        <v>618</v>
      </c>
      <c r="B606" s="4">
        <v>45026</v>
      </c>
      <c r="C606" s="4">
        <v>45041</v>
      </c>
      <c r="D606" s="5">
        <v>15</v>
      </c>
      <c r="E606" s="3" t="s">
        <v>649</v>
      </c>
      <c r="F606" s="3" t="s">
        <v>658</v>
      </c>
      <c r="G606" s="3" t="s">
        <v>683</v>
      </c>
      <c r="H606" s="3" t="s">
        <v>705</v>
      </c>
      <c r="I606" s="3" t="s">
        <v>707</v>
      </c>
      <c r="J606" s="3" t="s">
        <v>726</v>
      </c>
      <c r="K606" s="3" t="s">
        <v>728</v>
      </c>
      <c r="L606" s="3" t="s">
        <v>1336</v>
      </c>
      <c r="M606" s="3">
        <v>405.66</v>
      </c>
      <c r="N606" s="3">
        <v>962.51</v>
      </c>
      <c r="O606" s="3">
        <v>0.19</v>
      </c>
      <c r="P606" s="3">
        <v>7</v>
      </c>
      <c r="Q606" s="3">
        <v>5457.4317000000001</v>
      </c>
      <c r="R606" s="3">
        <f t="shared" si="45"/>
        <v>2839.6200000000003</v>
      </c>
      <c r="S606" s="3">
        <v>2617.8116999999997</v>
      </c>
      <c r="T606" s="3">
        <f t="shared" si="46"/>
        <v>0.47967832561239376</v>
      </c>
      <c r="U606" s="3" t="str">
        <f t="shared" si="47"/>
        <v>Apr-2023</v>
      </c>
      <c r="AB606" s="3">
        <f t="shared" si="48"/>
        <v>2839.6200000000003</v>
      </c>
      <c r="AC606" s="3">
        <f t="shared" si="49"/>
        <v>5457.4317000000001</v>
      </c>
    </row>
    <row r="607" spans="1:29" x14ac:dyDescent="0.35">
      <c r="A607" s="3" t="s">
        <v>619</v>
      </c>
      <c r="B607" s="4">
        <v>45186</v>
      </c>
      <c r="C607" s="4">
        <v>45201</v>
      </c>
      <c r="D607" s="5">
        <v>15</v>
      </c>
      <c r="E607" s="3" t="s">
        <v>648</v>
      </c>
      <c r="F607" s="3" t="s">
        <v>655</v>
      </c>
      <c r="G607" s="3" t="s">
        <v>692</v>
      </c>
      <c r="H607" s="3" t="s">
        <v>705</v>
      </c>
      <c r="I607" s="3" t="s">
        <v>707</v>
      </c>
      <c r="J607" s="3" t="s">
        <v>717</v>
      </c>
      <c r="K607" s="3" t="s">
        <v>731</v>
      </c>
      <c r="L607" s="3" t="s">
        <v>1337</v>
      </c>
      <c r="M607" s="3">
        <v>689.33</v>
      </c>
      <c r="N607" s="3">
        <v>668.27</v>
      </c>
      <c r="O607" s="3">
        <v>0.186</v>
      </c>
      <c r="P607" s="3">
        <v>13</v>
      </c>
      <c r="Q607" s="3">
        <v>7071.6331400000008</v>
      </c>
      <c r="R607" s="3">
        <f t="shared" si="45"/>
        <v>8961.2900000000009</v>
      </c>
      <c r="S607" s="3">
        <v>1889.6568600000001</v>
      </c>
      <c r="T607" s="3">
        <f t="shared" si="46"/>
        <v>0.26721647214861033</v>
      </c>
      <c r="U607" s="3" t="str">
        <f t="shared" si="47"/>
        <v>Sep-2023</v>
      </c>
      <c r="AB607" s="3">
        <f t="shared" si="48"/>
        <v>8961.2900000000009</v>
      </c>
      <c r="AC607" s="3">
        <f t="shared" si="49"/>
        <v>7071.6331400000008</v>
      </c>
    </row>
    <row r="608" spans="1:29" x14ac:dyDescent="0.35">
      <c r="A608" s="3" t="s">
        <v>620</v>
      </c>
      <c r="B608" s="4">
        <v>45038</v>
      </c>
      <c r="C608" s="4">
        <v>45060</v>
      </c>
      <c r="D608" s="5">
        <v>22</v>
      </c>
      <c r="E608" s="3" t="s">
        <v>647</v>
      </c>
      <c r="F608" s="3" t="s">
        <v>652</v>
      </c>
      <c r="G608" s="3" t="s">
        <v>694</v>
      </c>
      <c r="H608" s="3" t="s">
        <v>706</v>
      </c>
      <c r="I608" s="3" t="s">
        <v>707</v>
      </c>
      <c r="J608" s="3" t="s">
        <v>720</v>
      </c>
      <c r="K608" s="3" t="s">
        <v>733</v>
      </c>
      <c r="L608" s="3" t="s">
        <v>1338</v>
      </c>
      <c r="M608" s="3">
        <v>1209.22</v>
      </c>
      <c r="N608" s="3">
        <v>1404.33</v>
      </c>
      <c r="O608" s="3">
        <v>0.10299999999999999</v>
      </c>
      <c r="P608" s="3">
        <v>11</v>
      </c>
      <c r="Q608" s="3">
        <v>13856.52411</v>
      </c>
      <c r="R608" s="3">
        <f t="shared" si="45"/>
        <v>13301.42</v>
      </c>
      <c r="S608" s="3">
        <v>555.10411000000022</v>
      </c>
      <c r="T608" s="3">
        <f t="shared" si="46"/>
        <v>4.0060848275751328E-2</v>
      </c>
      <c r="U608" s="3" t="str">
        <f t="shared" si="47"/>
        <v>Apr-2023</v>
      </c>
      <c r="AB608" s="3">
        <f t="shared" si="48"/>
        <v>13301.42</v>
      </c>
      <c r="AC608" s="3">
        <f t="shared" si="49"/>
        <v>13856.52411</v>
      </c>
    </row>
    <row r="609" spans="1:29" x14ac:dyDescent="0.35">
      <c r="A609" s="3" t="s">
        <v>621</v>
      </c>
      <c r="B609" s="4">
        <v>45827</v>
      </c>
      <c r="C609" s="4">
        <v>45829</v>
      </c>
      <c r="D609" s="5">
        <v>2</v>
      </c>
      <c r="E609" s="3" t="s">
        <v>646</v>
      </c>
      <c r="F609" s="3" t="s">
        <v>661</v>
      </c>
      <c r="G609" s="3" t="s">
        <v>682</v>
      </c>
      <c r="H609" s="3" t="s">
        <v>705</v>
      </c>
      <c r="I609" s="3" t="s">
        <v>1423</v>
      </c>
      <c r="J609" s="3" t="s">
        <v>722</v>
      </c>
      <c r="K609" s="3" t="s">
        <v>730</v>
      </c>
      <c r="L609" s="3" t="s">
        <v>1339</v>
      </c>
      <c r="M609" s="3">
        <v>1466.27</v>
      </c>
      <c r="N609" s="3">
        <v>3589.89</v>
      </c>
      <c r="O609" s="3">
        <v>9.7000000000000003E-2</v>
      </c>
      <c r="P609" s="3">
        <v>9</v>
      </c>
      <c r="Q609" s="3">
        <v>29175.036029999999</v>
      </c>
      <c r="R609" s="3">
        <f t="shared" si="45"/>
        <v>13196.43</v>
      </c>
      <c r="S609" s="3">
        <v>15978.606029999999</v>
      </c>
      <c r="T609" s="3">
        <f t="shared" si="46"/>
        <v>0.54768076425234147</v>
      </c>
      <c r="U609" s="3" t="str">
        <f t="shared" si="47"/>
        <v>Jun-2025</v>
      </c>
      <c r="AB609" s="3">
        <f t="shared" si="48"/>
        <v>13196.43</v>
      </c>
      <c r="AC609" s="3">
        <f t="shared" si="49"/>
        <v>29175.036029999999</v>
      </c>
    </row>
    <row r="610" spans="1:29" x14ac:dyDescent="0.35">
      <c r="A610" s="3" t="s">
        <v>622</v>
      </c>
      <c r="B610" s="4">
        <v>45623</v>
      </c>
      <c r="C610" s="4">
        <v>45650</v>
      </c>
      <c r="D610" s="5">
        <v>27</v>
      </c>
      <c r="E610" s="3" t="s">
        <v>646</v>
      </c>
      <c r="F610" s="3" t="s">
        <v>650</v>
      </c>
      <c r="G610" s="3" t="s">
        <v>675</v>
      </c>
      <c r="H610" s="3" t="s">
        <v>701</v>
      </c>
      <c r="I610" s="3" t="s">
        <v>710</v>
      </c>
      <c r="J610" s="3" t="s">
        <v>717</v>
      </c>
      <c r="K610" s="3" t="s">
        <v>728</v>
      </c>
      <c r="L610" s="3" t="s">
        <v>1340</v>
      </c>
      <c r="M610" s="3">
        <v>143.33000000000001</v>
      </c>
      <c r="N610" s="3">
        <v>233.51</v>
      </c>
      <c r="O610" s="3">
        <v>0.16300000000000001</v>
      </c>
      <c r="P610" s="3">
        <v>14</v>
      </c>
      <c r="Q610" s="3">
        <v>2736.27018</v>
      </c>
      <c r="R610" s="3">
        <f t="shared" si="45"/>
        <v>2006.6200000000001</v>
      </c>
      <c r="S610" s="3">
        <v>729.65017999999986</v>
      </c>
      <c r="T610" s="3">
        <f t="shared" si="46"/>
        <v>0.26665867476580835</v>
      </c>
      <c r="U610" s="3" t="str">
        <f t="shared" si="47"/>
        <v>Nov-2024</v>
      </c>
      <c r="AB610" s="3">
        <f t="shared" si="48"/>
        <v>2006.6200000000001</v>
      </c>
      <c r="AC610" s="3">
        <f t="shared" si="49"/>
        <v>2736.27018</v>
      </c>
    </row>
    <row r="611" spans="1:29" x14ac:dyDescent="0.35">
      <c r="A611" s="3" t="s">
        <v>623</v>
      </c>
      <c r="B611" s="4">
        <v>45319</v>
      </c>
      <c r="C611" s="4">
        <v>45318</v>
      </c>
      <c r="D611" s="5">
        <v>1</v>
      </c>
      <c r="E611" s="3" t="s">
        <v>646</v>
      </c>
      <c r="F611" s="3" t="s">
        <v>661</v>
      </c>
      <c r="G611" s="3" t="s">
        <v>695</v>
      </c>
      <c r="H611" s="3" t="s">
        <v>706</v>
      </c>
      <c r="I611" s="3" t="s">
        <v>711</v>
      </c>
      <c r="J611" s="3" t="s">
        <v>719</v>
      </c>
      <c r="K611" s="3" t="s">
        <v>727</v>
      </c>
      <c r="L611" s="3" t="s">
        <v>1341</v>
      </c>
      <c r="M611" s="3">
        <v>109.75</v>
      </c>
      <c r="N611" s="3">
        <v>124.25</v>
      </c>
      <c r="O611" s="3">
        <v>0.12</v>
      </c>
      <c r="P611" s="3">
        <v>19</v>
      </c>
      <c r="Q611" s="3">
        <v>2077.46</v>
      </c>
      <c r="R611" s="3">
        <f t="shared" si="45"/>
        <v>2085.25</v>
      </c>
      <c r="S611" s="3">
        <v>7.7899999999999636</v>
      </c>
      <c r="T611" s="3">
        <f t="shared" si="46"/>
        <v>3.7497713554051405E-3</v>
      </c>
      <c r="U611" s="3" t="str">
        <f t="shared" si="47"/>
        <v>Jan-2024</v>
      </c>
      <c r="AB611" s="3">
        <f t="shared" si="48"/>
        <v>2085.25</v>
      </c>
      <c r="AC611" s="3">
        <f t="shared" si="49"/>
        <v>2077.46</v>
      </c>
    </row>
    <row r="612" spans="1:29" x14ac:dyDescent="0.35">
      <c r="A612" s="3" t="s">
        <v>624</v>
      </c>
      <c r="B612" s="4">
        <v>45032</v>
      </c>
      <c r="C612" s="4">
        <v>45039</v>
      </c>
      <c r="D612" s="5">
        <v>7</v>
      </c>
      <c r="E612" s="3" t="s">
        <v>648</v>
      </c>
      <c r="F612" s="3" t="s">
        <v>660</v>
      </c>
      <c r="G612" s="3" t="s">
        <v>697</v>
      </c>
      <c r="H612" s="3" t="s">
        <v>701</v>
      </c>
      <c r="I612" s="3" t="s">
        <v>710</v>
      </c>
      <c r="J612" s="3" t="s">
        <v>719</v>
      </c>
      <c r="K612" s="3" t="s">
        <v>728</v>
      </c>
      <c r="L612" s="3" t="s">
        <v>1342</v>
      </c>
      <c r="M612" s="3">
        <v>1099.1500000000001</v>
      </c>
      <c r="N612" s="3">
        <v>1431.37</v>
      </c>
      <c r="O612" s="3">
        <v>0.104</v>
      </c>
      <c r="P612" s="3">
        <v>8</v>
      </c>
      <c r="Q612" s="3">
        <v>10260.060159999999</v>
      </c>
      <c r="R612" s="3">
        <f t="shared" si="45"/>
        <v>8793.2000000000007</v>
      </c>
      <c r="S612" s="3">
        <v>1466.8601599999984</v>
      </c>
      <c r="T612" s="3">
        <f t="shared" si="46"/>
        <v>0.14296798821109433</v>
      </c>
      <c r="U612" s="3" t="str">
        <f t="shared" si="47"/>
        <v>Apr-2023</v>
      </c>
      <c r="AB612" s="3">
        <f t="shared" si="48"/>
        <v>8793.2000000000007</v>
      </c>
      <c r="AC612" s="3">
        <f t="shared" si="49"/>
        <v>10260.060159999999</v>
      </c>
    </row>
    <row r="613" spans="1:29" x14ac:dyDescent="0.35">
      <c r="A613" s="3" t="s">
        <v>625</v>
      </c>
      <c r="B613" s="4">
        <v>45323</v>
      </c>
      <c r="C613" s="4">
        <v>45323</v>
      </c>
      <c r="D613" s="5">
        <v>0</v>
      </c>
      <c r="E613" s="3" t="s">
        <v>648</v>
      </c>
      <c r="F613" s="3" t="s">
        <v>660</v>
      </c>
      <c r="G613" s="3" t="s">
        <v>697</v>
      </c>
      <c r="H613" s="3" t="s">
        <v>704</v>
      </c>
      <c r="I613" s="3" t="s">
        <v>710</v>
      </c>
      <c r="J613" s="3" t="s">
        <v>722</v>
      </c>
      <c r="K613" s="3" t="s">
        <v>728</v>
      </c>
      <c r="L613" s="3" t="s">
        <v>1343</v>
      </c>
      <c r="M613" s="3">
        <v>714.43</v>
      </c>
      <c r="N613" s="3">
        <v>1595.52</v>
      </c>
      <c r="O613" s="3">
        <v>0.19400000000000001</v>
      </c>
      <c r="P613" s="3">
        <v>14</v>
      </c>
      <c r="Q613" s="3">
        <v>18003.847679999999</v>
      </c>
      <c r="R613" s="3">
        <f t="shared" si="45"/>
        <v>10002.019999999999</v>
      </c>
      <c r="S613" s="3">
        <v>8001.8276800000003</v>
      </c>
      <c r="T613" s="3">
        <f t="shared" si="46"/>
        <v>0.44445097638151093</v>
      </c>
      <c r="U613" s="3" t="str">
        <f t="shared" si="47"/>
        <v>Feb-2024</v>
      </c>
      <c r="AB613" s="3">
        <f t="shared" si="48"/>
        <v>10002.019999999999</v>
      </c>
      <c r="AC613" s="3">
        <f t="shared" si="49"/>
        <v>18003.847679999999</v>
      </c>
    </row>
    <row r="614" spans="1:29" x14ac:dyDescent="0.35">
      <c r="A614" s="3" t="s">
        <v>626</v>
      </c>
      <c r="B614" s="4">
        <v>45584</v>
      </c>
      <c r="C614" s="4">
        <v>45602</v>
      </c>
      <c r="D614" s="5">
        <v>18</v>
      </c>
      <c r="E614" s="3" t="s">
        <v>648</v>
      </c>
      <c r="F614" s="3" t="s">
        <v>660</v>
      </c>
      <c r="G614" s="3" t="s">
        <v>677</v>
      </c>
      <c r="H614" s="3" t="s">
        <v>702</v>
      </c>
      <c r="I614" s="3" t="s">
        <v>1423</v>
      </c>
      <c r="J614" s="3" t="s">
        <v>712</v>
      </c>
      <c r="K614" s="3" t="s">
        <v>732</v>
      </c>
      <c r="L614" s="3" t="s">
        <v>1344</v>
      </c>
      <c r="M614" s="3">
        <v>942.02</v>
      </c>
      <c r="N614" s="3">
        <v>1028.46</v>
      </c>
      <c r="O614" s="3">
        <v>0</v>
      </c>
      <c r="P614" s="3">
        <v>9</v>
      </c>
      <c r="Q614" s="3">
        <v>9256.14</v>
      </c>
      <c r="R614" s="3">
        <f t="shared" si="45"/>
        <v>8478.18</v>
      </c>
      <c r="S614" s="3">
        <v>777.95999999999913</v>
      </c>
      <c r="T614" s="3">
        <f t="shared" si="46"/>
        <v>8.4047994088248354E-2</v>
      </c>
      <c r="U614" s="3" t="str">
        <f t="shared" si="47"/>
        <v>Oct-2024</v>
      </c>
      <c r="AB614" s="3">
        <f t="shared" si="48"/>
        <v>8478.18</v>
      </c>
      <c r="AC614" s="3">
        <f t="shared" si="49"/>
        <v>9256.14</v>
      </c>
    </row>
    <row r="615" spans="1:29" x14ac:dyDescent="0.35">
      <c r="A615" s="3" t="s">
        <v>627</v>
      </c>
      <c r="B615" s="4">
        <v>45468</v>
      </c>
      <c r="C615" s="4">
        <v>45473</v>
      </c>
      <c r="D615" s="5">
        <v>5</v>
      </c>
      <c r="E615" s="3" t="s">
        <v>646</v>
      </c>
      <c r="F615" s="3" t="s">
        <v>650</v>
      </c>
      <c r="G615" s="3" t="s">
        <v>662</v>
      </c>
      <c r="H615" s="3" t="s">
        <v>702</v>
      </c>
      <c r="I615" s="3" t="s">
        <v>711</v>
      </c>
      <c r="J615" s="3" t="s">
        <v>724</v>
      </c>
      <c r="K615" s="3" t="s">
        <v>729</v>
      </c>
      <c r="L615" s="3" t="s">
        <v>1345</v>
      </c>
      <c r="M615" s="3">
        <v>1323.55</v>
      </c>
      <c r="N615" s="3">
        <v>3230.35</v>
      </c>
      <c r="O615" s="3">
        <v>2.1999999999999999E-2</v>
      </c>
      <c r="P615" s="3">
        <v>26</v>
      </c>
      <c r="Q615" s="3">
        <v>82141.339799999987</v>
      </c>
      <c r="R615" s="3">
        <f t="shared" si="45"/>
        <v>34412.299999999996</v>
      </c>
      <c r="S615" s="3">
        <v>47729.039799999991</v>
      </c>
      <c r="T615" s="3">
        <f t="shared" si="46"/>
        <v>0.58105991351263542</v>
      </c>
      <c r="U615" s="3" t="str">
        <f t="shared" si="47"/>
        <v>Jun-2024</v>
      </c>
      <c r="AB615" s="3">
        <f t="shared" si="48"/>
        <v>34412.299999999996</v>
      </c>
      <c r="AC615" s="3">
        <f t="shared" si="49"/>
        <v>82141.339799999987</v>
      </c>
    </row>
    <row r="616" spans="1:29" x14ac:dyDescent="0.35">
      <c r="A616" s="3" t="s">
        <v>628</v>
      </c>
      <c r="B616" s="4">
        <v>45137</v>
      </c>
      <c r="C616" s="4">
        <v>45157</v>
      </c>
      <c r="D616" s="5">
        <v>20</v>
      </c>
      <c r="E616" s="3" t="s">
        <v>649</v>
      </c>
      <c r="F616" s="3" t="s">
        <v>657</v>
      </c>
      <c r="G616" s="3" t="s">
        <v>690</v>
      </c>
      <c r="H616" s="3" t="s">
        <v>706</v>
      </c>
      <c r="I616" s="3" t="s">
        <v>709</v>
      </c>
      <c r="J616" s="3" t="s">
        <v>715</v>
      </c>
      <c r="K616" s="3" t="s">
        <v>729</v>
      </c>
      <c r="L616" s="3" t="s">
        <v>1346</v>
      </c>
      <c r="M616" s="3">
        <v>1418.51</v>
      </c>
      <c r="N616" s="3">
        <v>2789.61</v>
      </c>
      <c r="O616" s="3">
        <v>0.17100000000000001</v>
      </c>
      <c r="P616" s="3">
        <v>8</v>
      </c>
      <c r="Q616" s="3">
        <v>18500.693520000001</v>
      </c>
      <c r="R616" s="3">
        <f t="shared" si="45"/>
        <v>11348.08</v>
      </c>
      <c r="S616" s="3">
        <v>7152.6135200000008</v>
      </c>
      <c r="T616" s="3">
        <f t="shared" si="46"/>
        <v>0.38661326464695689</v>
      </c>
      <c r="U616" s="3" t="str">
        <f t="shared" si="47"/>
        <v>Jul-2023</v>
      </c>
      <c r="AB616" s="3">
        <f t="shared" si="48"/>
        <v>11348.08</v>
      </c>
      <c r="AC616" s="3">
        <f t="shared" si="49"/>
        <v>18500.693520000001</v>
      </c>
    </row>
    <row r="617" spans="1:29" x14ac:dyDescent="0.35">
      <c r="A617" s="3" t="s">
        <v>629</v>
      </c>
      <c r="B617" s="4">
        <v>45727</v>
      </c>
      <c r="C617" s="4">
        <v>45743</v>
      </c>
      <c r="D617" s="5">
        <v>16</v>
      </c>
      <c r="E617" s="3" t="s">
        <v>647</v>
      </c>
      <c r="F617" s="3" t="s">
        <v>652</v>
      </c>
      <c r="G617" s="3" t="s">
        <v>689</v>
      </c>
      <c r="H617" s="3" t="s">
        <v>706</v>
      </c>
      <c r="I617" s="3" t="s">
        <v>710</v>
      </c>
      <c r="J617" s="3" t="s">
        <v>717</v>
      </c>
      <c r="K617" s="3" t="s">
        <v>728</v>
      </c>
      <c r="L617" s="3" t="s">
        <v>1347</v>
      </c>
      <c r="M617" s="3">
        <v>1317.58</v>
      </c>
      <c r="N617" s="3">
        <v>1897.74</v>
      </c>
      <c r="O617" s="3">
        <v>8.1000000000000003E-2</v>
      </c>
      <c r="P617" s="3">
        <v>6</v>
      </c>
      <c r="Q617" s="3">
        <v>10464.138360000001</v>
      </c>
      <c r="R617" s="3">
        <f t="shared" si="45"/>
        <v>7905.48</v>
      </c>
      <c r="S617" s="3">
        <v>2558.6583600000013</v>
      </c>
      <c r="T617" s="3">
        <f t="shared" si="46"/>
        <v>0.24451687009230266</v>
      </c>
      <c r="U617" s="3" t="str">
        <f t="shared" si="47"/>
        <v>Mar-2025</v>
      </c>
      <c r="AB617" s="3">
        <f t="shared" si="48"/>
        <v>7905.48</v>
      </c>
      <c r="AC617" s="3">
        <f t="shared" si="49"/>
        <v>10464.138360000001</v>
      </c>
    </row>
    <row r="618" spans="1:29" x14ac:dyDescent="0.35">
      <c r="A618" s="3" t="s">
        <v>630</v>
      </c>
      <c r="B618" s="4">
        <v>45208</v>
      </c>
      <c r="C618" s="4">
        <v>45210</v>
      </c>
      <c r="D618" s="5">
        <v>2</v>
      </c>
      <c r="E618" s="3" t="s">
        <v>646</v>
      </c>
      <c r="F618" s="3" t="s">
        <v>651</v>
      </c>
      <c r="G618" s="3" t="s">
        <v>663</v>
      </c>
      <c r="H618" s="3" t="s">
        <v>702</v>
      </c>
      <c r="I618" s="3" t="s">
        <v>709</v>
      </c>
      <c r="J618" s="3" t="s">
        <v>723</v>
      </c>
      <c r="K618" s="3" t="s">
        <v>729</v>
      </c>
      <c r="L618" s="3" t="s">
        <v>1348</v>
      </c>
      <c r="M618" s="3">
        <v>391.16</v>
      </c>
      <c r="N618" s="3">
        <v>902.47</v>
      </c>
      <c r="O618" s="3">
        <v>4.0000000000000001E-3</v>
      </c>
      <c r="P618" s="3">
        <v>12</v>
      </c>
      <c r="Q618" s="3">
        <v>10786.32144</v>
      </c>
      <c r="R618" s="3">
        <f t="shared" si="45"/>
        <v>4693.92</v>
      </c>
      <c r="S618" s="3">
        <v>6092.4014399999996</v>
      </c>
      <c r="T618" s="3">
        <f t="shared" si="46"/>
        <v>0.56482661618139207</v>
      </c>
      <c r="U618" s="3" t="str">
        <f t="shared" si="47"/>
        <v>Oct-2023</v>
      </c>
      <c r="AB618" s="3">
        <f t="shared" si="48"/>
        <v>4693.92</v>
      </c>
      <c r="AC618" s="3">
        <f t="shared" si="49"/>
        <v>10786.32144</v>
      </c>
    </row>
    <row r="619" spans="1:29" x14ac:dyDescent="0.35">
      <c r="A619" s="3" t="s">
        <v>631</v>
      </c>
      <c r="B619" s="4">
        <v>45643</v>
      </c>
      <c r="C619" s="4">
        <v>45673</v>
      </c>
      <c r="D619" s="5">
        <v>30</v>
      </c>
      <c r="E619" s="3" t="s">
        <v>649</v>
      </c>
      <c r="F619" s="3" t="s">
        <v>658</v>
      </c>
      <c r="G619" s="3" t="s">
        <v>693</v>
      </c>
      <c r="H619" s="3" t="s">
        <v>701</v>
      </c>
      <c r="I619" s="3" t="s">
        <v>707</v>
      </c>
      <c r="J619" s="3" t="s">
        <v>726</v>
      </c>
      <c r="K619" s="3" t="s">
        <v>732</v>
      </c>
      <c r="L619" s="3" t="s">
        <v>1349</v>
      </c>
      <c r="M619" s="3">
        <v>722.87</v>
      </c>
      <c r="N619" s="3">
        <v>-33.659999999999997</v>
      </c>
      <c r="O619" s="3">
        <v>0.10199999999999999</v>
      </c>
      <c r="P619" s="3">
        <v>28</v>
      </c>
      <c r="Q619" s="3">
        <v>846.34703999999988</v>
      </c>
      <c r="R619" s="3">
        <f t="shared" si="45"/>
        <v>20240.36</v>
      </c>
      <c r="S619" s="3">
        <v>19394.01296</v>
      </c>
      <c r="T619" s="3">
        <f t="shared" si="46"/>
        <v>22.914965189693348</v>
      </c>
      <c r="U619" s="3" t="str">
        <f t="shared" si="47"/>
        <v>Dec-2024</v>
      </c>
      <c r="AB619" s="3">
        <f t="shared" si="48"/>
        <v>20240.36</v>
      </c>
      <c r="AC619" s="3">
        <f t="shared" si="49"/>
        <v>-846.34703999999988</v>
      </c>
    </row>
    <row r="620" spans="1:29" x14ac:dyDescent="0.35">
      <c r="A620" s="3" t="s">
        <v>632</v>
      </c>
      <c r="B620" s="4">
        <v>45849</v>
      </c>
      <c r="C620" s="4">
        <v>45854</v>
      </c>
      <c r="D620" s="5">
        <v>5</v>
      </c>
      <c r="E620" s="3" t="s">
        <v>649</v>
      </c>
      <c r="F620" s="3" t="s">
        <v>658</v>
      </c>
      <c r="G620" s="3" t="s">
        <v>683</v>
      </c>
      <c r="H620" s="3" t="s">
        <v>706</v>
      </c>
      <c r="I620" s="3" t="s">
        <v>708</v>
      </c>
      <c r="J620" s="3" t="s">
        <v>723</v>
      </c>
      <c r="K620" s="3" t="s">
        <v>728</v>
      </c>
      <c r="L620" s="3" t="s">
        <v>1350</v>
      </c>
      <c r="M620" s="3">
        <v>930.03</v>
      </c>
      <c r="N620" s="3">
        <v>1086.68</v>
      </c>
      <c r="O620" s="3">
        <v>0.109</v>
      </c>
      <c r="P620" s="3">
        <v>26</v>
      </c>
      <c r="Q620" s="3">
        <v>25174.028880000002</v>
      </c>
      <c r="R620" s="3">
        <f t="shared" si="45"/>
        <v>24180.78</v>
      </c>
      <c r="S620" s="3">
        <v>993.24888000000283</v>
      </c>
      <c r="T620" s="3">
        <f t="shared" si="46"/>
        <v>3.9455300728168656E-2</v>
      </c>
      <c r="U620" s="3" t="str">
        <f t="shared" si="47"/>
        <v>Jul-2025</v>
      </c>
      <c r="AB620" s="3">
        <f t="shared" si="48"/>
        <v>24180.78</v>
      </c>
      <c r="AC620" s="3">
        <f t="shared" si="49"/>
        <v>25174.028880000002</v>
      </c>
    </row>
    <row r="621" spans="1:29" x14ac:dyDescent="0.35">
      <c r="A621" s="3" t="s">
        <v>633</v>
      </c>
      <c r="B621" s="4">
        <v>45578</v>
      </c>
      <c r="C621" s="4">
        <v>45589</v>
      </c>
      <c r="D621" s="5">
        <v>11</v>
      </c>
      <c r="E621" s="3" t="s">
        <v>649</v>
      </c>
      <c r="F621" s="3" t="s">
        <v>657</v>
      </c>
      <c r="G621" s="3" t="s">
        <v>690</v>
      </c>
      <c r="H621" s="3" t="s">
        <v>702</v>
      </c>
      <c r="I621" s="3" t="s">
        <v>710</v>
      </c>
      <c r="J621" s="3" t="s">
        <v>721</v>
      </c>
      <c r="K621" s="3" t="s">
        <v>727</v>
      </c>
      <c r="L621" s="3" t="s">
        <v>1351</v>
      </c>
      <c r="M621" s="3">
        <v>816.7</v>
      </c>
      <c r="N621" s="3">
        <v>1010.75</v>
      </c>
      <c r="O621" s="3">
        <v>4.7E-2</v>
      </c>
      <c r="P621" s="3">
        <v>43</v>
      </c>
      <c r="Q621" s="3">
        <v>41419.524249999995</v>
      </c>
      <c r="R621" s="3">
        <f t="shared" si="45"/>
        <v>35118.1</v>
      </c>
      <c r="S621" s="3">
        <v>6301.4242499999964</v>
      </c>
      <c r="T621" s="3">
        <f t="shared" si="46"/>
        <v>0.15213656757537472</v>
      </c>
      <c r="U621" s="3" t="str">
        <f t="shared" si="47"/>
        <v>Oct-2024</v>
      </c>
      <c r="AB621" s="3">
        <f t="shared" si="48"/>
        <v>35118.1</v>
      </c>
      <c r="AC621" s="3">
        <f t="shared" si="49"/>
        <v>41419.524249999995</v>
      </c>
    </row>
    <row r="622" spans="1:29" x14ac:dyDescent="0.35">
      <c r="A622" s="3" t="s">
        <v>634</v>
      </c>
      <c r="B622" s="4">
        <v>45177</v>
      </c>
      <c r="C622" s="4">
        <v>45183</v>
      </c>
      <c r="D622" s="5">
        <v>6</v>
      </c>
      <c r="E622" s="3" t="s">
        <v>646</v>
      </c>
      <c r="F622" s="3" t="s">
        <v>650</v>
      </c>
      <c r="G622" s="3" t="s">
        <v>678</v>
      </c>
      <c r="H622" s="3" t="s">
        <v>702</v>
      </c>
      <c r="I622" s="3" t="s">
        <v>711</v>
      </c>
      <c r="J622" s="3" t="s">
        <v>714</v>
      </c>
      <c r="K622" s="3" t="s">
        <v>733</v>
      </c>
      <c r="L622" s="3" t="s">
        <v>1352</v>
      </c>
      <c r="M622" s="3">
        <v>251.03</v>
      </c>
      <c r="N622" s="3">
        <v>411.48</v>
      </c>
      <c r="O622" s="3">
        <v>0.16500000000000001</v>
      </c>
      <c r="P622" s="3">
        <v>3</v>
      </c>
      <c r="Q622" s="3">
        <v>1030.7574</v>
      </c>
      <c r="R622" s="3">
        <f t="shared" si="45"/>
        <v>753.09</v>
      </c>
      <c r="S622" s="3">
        <v>277.66739999999993</v>
      </c>
      <c r="T622" s="3">
        <f t="shared" si="46"/>
        <v>0.26938191275658069</v>
      </c>
      <c r="U622" s="3" t="str">
        <f t="shared" si="47"/>
        <v>Sep-2023</v>
      </c>
      <c r="AB622" s="3">
        <f t="shared" si="48"/>
        <v>753.09</v>
      </c>
      <c r="AC622" s="3">
        <f t="shared" si="49"/>
        <v>1030.7574</v>
      </c>
    </row>
    <row r="623" spans="1:29" x14ac:dyDescent="0.35">
      <c r="A623" s="3" t="s">
        <v>635</v>
      </c>
      <c r="B623" s="4">
        <v>45764</v>
      </c>
      <c r="C623" s="4">
        <v>45780</v>
      </c>
      <c r="D623" s="5">
        <v>16</v>
      </c>
      <c r="E623" s="3" t="s">
        <v>648</v>
      </c>
      <c r="F623" s="3" t="s">
        <v>655</v>
      </c>
      <c r="G623" s="3" t="s">
        <v>692</v>
      </c>
      <c r="H623" s="3" t="s">
        <v>704</v>
      </c>
      <c r="I623" s="3" t="s">
        <v>709</v>
      </c>
      <c r="J623" s="3" t="s">
        <v>713</v>
      </c>
      <c r="K623" s="3" t="s">
        <v>729</v>
      </c>
      <c r="L623" s="3" t="s">
        <v>1353</v>
      </c>
      <c r="M623" s="3">
        <v>168.68</v>
      </c>
      <c r="N623" s="3">
        <v>413.34</v>
      </c>
      <c r="O623" s="3">
        <v>0.186</v>
      </c>
      <c r="P623" s="3">
        <v>7</v>
      </c>
      <c r="Q623" s="3">
        <v>2355.2113199999999</v>
      </c>
      <c r="R623" s="3">
        <f t="shared" si="45"/>
        <v>1180.76</v>
      </c>
      <c r="S623" s="3">
        <v>1174.4513199999999</v>
      </c>
      <c r="T623" s="3">
        <f t="shared" si="46"/>
        <v>0.49866069767361682</v>
      </c>
      <c r="U623" s="3" t="str">
        <f t="shared" si="47"/>
        <v>Apr-2025</v>
      </c>
      <c r="AB623" s="3">
        <f t="shared" si="48"/>
        <v>1180.76</v>
      </c>
      <c r="AC623" s="3">
        <f t="shared" si="49"/>
        <v>2355.2113199999999</v>
      </c>
    </row>
    <row r="624" spans="1:29" x14ac:dyDescent="0.35">
      <c r="A624" s="3" t="s">
        <v>636</v>
      </c>
      <c r="B624" s="4">
        <v>45501</v>
      </c>
      <c r="C624" s="4">
        <v>45527</v>
      </c>
      <c r="D624" s="5">
        <v>26</v>
      </c>
      <c r="E624" s="3" t="s">
        <v>647</v>
      </c>
      <c r="F624" s="3" t="s">
        <v>654</v>
      </c>
      <c r="G624" s="3" t="s">
        <v>696</v>
      </c>
      <c r="H624" s="3" t="s">
        <v>701</v>
      </c>
      <c r="I624" s="3" t="s">
        <v>707</v>
      </c>
      <c r="J624" s="3" t="s">
        <v>713</v>
      </c>
      <c r="K624" s="3" t="s">
        <v>729</v>
      </c>
      <c r="L624" s="3" t="s">
        <v>1354</v>
      </c>
      <c r="M624" s="3">
        <v>1339.24</v>
      </c>
      <c r="N624" s="3">
        <v>1558.89</v>
      </c>
      <c r="O624" s="3">
        <v>0.192</v>
      </c>
      <c r="P624" s="3">
        <v>24</v>
      </c>
      <c r="Q624" s="3">
        <v>30229.994880000002</v>
      </c>
      <c r="R624" s="3">
        <f t="shared" si="45"/>
        <v>32141.760000000002</v>
      </c>
      <c r="S624" s="3">
        <v>1911.76512</v>
      </c>
      <c r="T624" s="3">
        <f t="shared" si="46"/>
        <v>6.3240669659021781E-2</v>
      </c>
      <c r="U624" s="3" t="str">
        <f t="shared" si="47"/>
        <v>Jul-2024</v>
      </c>
      <c r="AB624" s="3">
        <f t="shared" si="48"/>
        <v>32141.760000000002</v>
      </c>
      <c r="AC624" s="3">
        <f t="shared" si="49"/>
        <v>30229.994880000002</v>
      </c>
    </row>
    <row r="625" spans="1:29" x14ac:dyDescent="0.35">
      <c r="A625" s="3" t="s">
        <v>637</v>
      </c>
      <c r="B625" s="4">
        <v>45857</v>
      </c>
      <c r="C625" s="4">
        <v>45869</v>
      </c>
      <c r="D625" s="5">
        <v>12</v>
      </c>
      <c r="E625" s="3" t="s">
        <v>646</v>
      </c>
      <c r="F625" s="3" t="s">
        <v>650</v>
      </c>
      <c r="G625" s="3" t="s">
        <v>664</v>
      </c>
      <c r="H625" s="3" t="s">
        <v>705</v>
      </c>
      <c r="I625" s="3" t="s">
        <v>709</v>
      </c>
      <c r="J625" s="3" t="s">
        <v>719</v>
      </c>
      <c r="K625" s="3" t="s">
        <v>733</v>
      </c>
      <c r="L625" s="3" t="s">
        <v>1355</v>
      </c>
      <c r="M625" s="3">
        <v>619.64</v>
      </c>
      <c r="N625" s="3">
        <v>861.16</v>
      </c>
      <c r="O625" s="3">
        <v>0.113</v>
      </c>
      <c r="P625" s="3">
        <v>14</v>
      </c>
      <c r="Q625" s="3">
        <v>10693.88488</v>
      </c>
      <c r="R625" s="3">
        <f t="shared" si="45"/>
        <v>8674.9599999999991</v>
      </c>
      <c r="S625" s="3">
        <v>2018.9248800000005</v>
      </c>
      <c r="T625" s="3">
        <f t="shared" si="46"/>
        <v>0.18879246435276761</v>
      </c>
      <c r="U625" s="3" t="str">
        <f t="shared" si="47"/>
        <v>Jul-2025</v>
      </c>
      <c r="AB625" s="3">
        <f t="shared" si="48"/>
        <v>8674.9599999999991</v>
      </c>
      <c r="AC625" s="3">
        <f t="shared" si="49"/>
        <v>10693.88488</v>
      </c>
    </row>
    <row r="626" spans="1:29" x14ac:dyDescent="0.35">
      <c r="A626" s="3" t="s">
        <v>638</v>
      </c>
      <c r="B626" s="4">
        <v>45141</v>
      </c>
      <c r="C626" s="4">
        <v>45140</v>
      </c>
      <c r="D626" s="5">
        <v>1</v>
      </c>
      <c r="E626" s="3" t="s">
        <v>647</v>
      </c>
      <c r="F626" s="3" t="s">
        <v>659</v>
      </c>
      <c r="G626" s="3" t="s">
        <v>685</v>
      </c>
      <c r="H626" s="3" t="s">
        <v>703</v>
      </c>
      <c r="I626" s="3" t="s">
        <v>711</v>
      </c>
      <c r="J626" s="3" t="s">
        <v>713</v>
      </c>
      <c r="K626" s="3" t="s">
        <v>729</v>
      </c>
      <c r="L626" s="3" t="s">
        <v>1356</v>
      </c>
      <c r="M626" s="3">
        <v>1021.97</v>
      </c>
      <c r="N626" s="3">
        <v>2296.25</v>
      </c>
      <c r="O626" s="3">
        <v>0.161</v>
      </c>
      <c r="P626" s="3">
        <v>26</v>
      </c>
      <c r="Q626" s="3">
        <v>50090.397499999999</v>
      </c>
      <c r="R626" s="3">
        <f t="shared" si="45"/>
        <v>26571.22</v>
      </c>
      <c r="S626" s="3">
        <v>23519.177499999998</v>
      </c>
      <c r="T626" s="3">
        <f t="shared" si="46"/>
        <v>0.46953465482081669</v>
      </c>
      <c r="U626" s="3" t="str">
        <f t="shared" si="47"/>
        <v>Aug-2023</v>
      </c>
      <c r="AB626" s="3">
        <f t="shared" si="48"/>
        <v>26571.22</v>
      </c>
      <c r="AC626" s="3">
        <f t="shared" si="49"/>
        <v>50090.397499999999</v>
      </c>
    </row>
    <row r="627" spans="1:29" x14ac:dyDescent="0.35">
      <c r="A627" s="3" t="s">
        <v>639</v>
      </c>
      <c r="B627" s="4">
        <v>45249</v>
      </c>
      <c r="C627" s="4">
        <v>45272</v>
      </c>
      <c r="D627" s="5">
        <v>23</v>
      </c>
      <c r="E627" s="3" t="s">
        <v>647</v>
      </c>
      <c r="F627" s="3" t="s">
        <v>654</v>
      </c>
      <c r="G627" s="3" t="s">
        <v>680</v>
      </c>
      <c r="H627" s="3" t="s">
        <v>705</v>
      </c>
      <c r="I627" s="3" t="s">
        <v>711</v>
      </c>
      <c r="J627" s="3" t="s">
        <v>712</v>
      </c>
      <c r="K627" s="3" t="s">
        <v>729</v>
      </c>
      <c r="L627" s="3" t="s">
        <v>1357</v>
      </c>
      <c r="M627" s="3">
        <v>1349.04</v>
      </c>
      <c r="N627" s="3">
        <v>2636.6</v>
      </c>
      <c r="O627" s="3">
        <v>0.114</v>
      </c>
      <c r="P627" s="3">
        <v>14</v>
      </c>
      <c r="Q627" s="3">
        <v>32704.386400000003</v>
      </c>
      <c r="R627" s="3">
        <f t="shared" si="45"/>
        <v>18886.559999999998</v>
      </c>
      <c r="S627" s="3">
        <v>13817.826400000005</v>
      </c>
      <c r="T627" s="3">
        <f t="shared" si="46"/>
        <v>0.42250682312143928</v>
      </c>
      <c r="U627" s="3" t="str">
        <f t="shared" si="47"/>
        <v>Nov-2023</v>
      </c>
      <c r="AB627" s="3">
        <f t="shared" si="48"/>
        <v>18886.559999999998</v>
      </c>
      <c r="AC627" s="3">
        <f t="shared" si="49"/>
        <v>32704.386400000003</v>
      </c>
    </row>
    <row r="628" spans="1:29" x14ac:dyDescent="0.35">
      <c r="A628" s="3" t="s">
        <v>640</v>
      </c>
      <c r="B628" s="4">
        <v>45282</v>
      </c>
      <c r="C628" s="4">
        <v>45307</v>
      </c>
      <c r="D628" s="5">
        <v>25</v>
      </c>
      <c r="E628" s="3" t="s">
        <v>647</v>
      </c>
      <c r="F628" s="3" t="s">
        <v>654</v>
      </c>
      <c r="G628" s="3" t="s">
        <v>696</v>
      </c>
      <c r="H628" s="3" t="s">
        <v>705</v>
      </c>
      <c r="I628" s="3" t="s">
        <v>707</v>
      </c>
      <c r="J628" s="3" t="s">
        <v>720</v>
      </c>
      <c r="K628" s="3" t="s">
        <v>727</v>
      </c>
      <c r="L628" s="3" t="s">
        <v>1358</v>
      </c>
      <c r="M628" s="3">
        <v>1346.81</v>
      </c>
      <c r="N628" s="3">
        <v>978.09</v>
      </c>
      <c r="O628" s="3">
        <v>0.159</v>
      </c>
      <c r="P628" s="3">
        <v>17</v>
      </c>
      <c r="Q628" s="3">
        <v>13983.752729999998</v>
      </c>
      <c r="R628" s="3">
        <f t="shared" si="45"/>
        <v>22895.77</v>
      </c>
      <c r="S628" s="3">
        <v>8912.0172700000021</v>
      </c>
      <c r="T628" s="3">
        <f t="shared" si="46"/>
        <v>0.6373122753293996</v>
      </c>
      <c r="U628" s="3" t="str">
        <f t="shared" si="47"/>
        <v>Dec-2023</v>
      </c>
      <c r="AB628" s="3">
        <f t="shared" si="48"/>
        <v>22895.77</v>
      </c>
      <c r="AC628" s="3">
        <f t="shared" si="49"/>
        <v>13983.752729999998</v>
      </c>
    </row>
    <row r="629" spans="1:29" x14ac:dyDescent="0.35">
      <c r="A629" s="3" t="s">
        <v>641</v>
      </c>
      <c r="B629" s="4">
        <v>45141</v>
      </c>
      <c r="C629" s="4">
        <v>45168</v>
      </c>
      <c r="D629" s="5">
        <v>27</v>
      </c>
      <c r="E629" s="3" t="s">
        <v>647</v>
      </c>
      <c r="F629" s="3" t="s">
        <v>659</v>
      </c>
      <c r="G629" s="3" t="s">
        <v>685</v>
      </c>
      <c r="H629" s="3" t="s">
        <v>704</v>
      </c>
      <c r="I629" s="3" t="s">
        <v>710</v>
      </c>
      <c r="J629" s="3" t="s">
        <v>725</v>
      </c>
      <c r="K629" s="3" t="s">
        <v>732</v>
      </c>
      <c r="L629" s="3" t="s">
        <v>1359</v>
      </c>
      <c r="M629" s="3">
        <v>226.04</v>
      </c>
      <c r="N629" s="3">
        <v>545.72</v>
      </c>
      <c r="O629" s="3">
        <v>0.151</v>
      </c>
      <c r="P629" s="3">
        <v>11</v>
      </c>
      <c r="Q629" s="3">
        <v>5096.4790800000001</v>
      </c>
      <c r="R629" s="3">
        <f t="shared" si="45"/>
        <v>2486.44</v>
      </c>
      <c r="S629" s="3">
        <v>2610.03908</v>
      </c>
      <c r="T629" s="3">
        <f t="shared" si="46"/>
        <v>0.51212592831834014</v>
      </c>
      <c r="U629" s="3" t="str">
        <f t="shared" si="47"/>
        <v>Aug-2023</v>
      </c>
      <c r="AB629" s="3">
        <f t="shared" si="48"/>
        <v>2486.44</v>
      </c>
      <c r="AC629" s="3">
        <f t="shared" si="49"/>
        <v>5096.4790800000001</v>
      </c>
    </row>
    <row r="630" spans="1:29" x14ac:dyDescent="0.35">
      <c r="A630" s="3" t="s">
        <v>642</v>
      </c>
      <c r="B630" s="4">
        <v>45100</v>
      </c>
      <c r="C630" s="4">
        <v>45125</v>
      </c>
      <c r="D630" s="5">
        <v>25</v>
      </c>
      <c r="E630" s="3" t="s">
        <v>648</v>
      </c>
      <c r="F630" s="3" t="s">
        <v>653</v>
      </c>
      <c r="G630" s="3" t="s">
        <v>688</v>
      </c>
      <c r="H630" s="3" t="s">
        <v>706</v>
      </c>
      <c r="I630" s="3" t="s">
        <v>708</v>
      </c>
      <c r="J630" s="3" t="s">
        <v>725</v>
      </c>
      <c r="K630" s="3" t="s">
        <v>730</v>
      </c>
      <c r="L630" s="3" t="s">
        <v>1360</v>
      </c>
      <c r="M630" s="3">
        <v>807.02</v>
      </c>
      <c r="N630" s="3">
        <v>1435.54</v>
      </c>
      <c r="O630" s="3">
        <v>0</v>
      </c>
      <c r="P630" s="3">
        <v>23</v>
      </c>
      <c r="Q630" s="3">
        <v>33017.42</v>
      </c>
      <c r="R630" s="3">
        <f t="shared" si="45"/>
        <v>18561.46</v>
      </c>
      <c r="S630" s="3">
        <v>14455.96</v>
      </c>
      <c r="T630" s="3">
        <f t="shared" si="46"/>
        <v>0.43782827368098415</v>
      </c>
      <c r="U630" s="3" t="str">
        <f t="shared" si="47"/>
        <v>Jun-2023</v>
      </c>
      <c r="AB630" s="3">
        <f t="shared" si="48"/>
        <v>18561.46</v>
      </c>
      <c r="AC630" s="3">
        <f t="shared" si="49"/>
        <v>33017.42</v>
      </c>
    </row>
    <row r="631" spans="1:29" x14ac:dyDescent="0.35">
      <c r="A631" s="3" t="s">
        <v>643</v>
      </c>
      <c r="B631" s="4">
        <v>45267</v>
      </c>
      <c r="C631" s="4">
        <v>45293</v>
      </c>
      <c r="D631" s="5">
        <v>26</v>
      </c>
      <c r="E631" s="3" t="s">
        <v>649</v>
      </c>
      <c r="F631" s="3" t="s">
        <v>656</v>
      </c>
      <c r="G631" s="3" t="s">
        <v>698</v>
      </c>
      <c r="H631" s="3" t="s">
        <v>706</v>
      </c>
      <c r="I631" s="3" t="s">
        <v>710</v>
      </c>
      <c r="J631" s="3" t="s">
        <v>718</v>
      </c>
      <c r="K631" s="3" t="s">
        <v>727</v>
      </c>
      <c r="L631" s="3" t="s">
        <v>1361</v>
      </c>
      <c r="M631" s="3">
        <v>1071.99</v>
      </c>
      <c r="N631" s="3">
        <v>2397.3000000000002</v>
      </c>
      <c r="O631" s="3">
        <v>6.2E-2</v>
      </c>
      <c r="P631" s="3">
        <v>18</v>
      </c>
      <c r="Q631" s="3">
        <v>40476.013200000001</v>
      </c>
      <c r="R631" s="3">
        <f t="shared" si="45"/>
        <v>19295.82</v>
      </c>
      <c r="S631" s="3">
        <v>21180.193200000002</v>
      </c>
      <c r="T631" s="3">
        <f t="shared" si="46"/>
        <v>0.52327765324476183</v>
      </c>
      <c r="U631" s="3" t="str">
        <f t="shared" si="47"/>
        <v>Dec-2023</v>
      </c>
      <c r="AB631" s="3">
        <f t="shared" si="48"/>
        <v>19295.82</v>
      </c>
      <c r="AC631" s="3">
        <f t="shared" si="49"/>
        <v>40476.013200000001</v>
      </c>
    </row>
    <row r="632" spans="1:29" x14ac:dyDescent="0.35">
      <c r="A632" s="3" t="s">
        <v>644</v>
      </c>
      <c r="B632" s="4">
        <v>45249</v>
      </c>
      <c r="C632" s="4">
        <v>45279</v>
      </c>
      <c r="D632" s="5">
        <v>30</v>
      </c>
      <c r="E632" s="3" t="s">
        <v>647</v>
      </c>
      <c r="F632" s="3" t="s">
        <v>652</v>
      </c>
      <c r="G632" s="3" t="s">
        <v>694</v>
      </c>
      <c r="H632" s="3" t="s">
        <v>704</v>
      </c>
      <c r="I632" s="3" t="s">
        <v>707</v>
      </c>
      <c r="J632" s="3" t="s">
        <v>1422</v>
      </c>
      <c r="K632" s="3" t="s">
        <v>730</v>
      </c>
      <c r="L632" s="3" t="s">
        <v>1362</v>
      </c>
      <c r="M632" s="3">
        <v>807.11</v>
      </c>
      <c r="N632" s="3">
        <v>1853.86</v>
      </c>
      <c r="O632" s="3">
        <v>0.13900000000000001</v>
      </c>
      <c r="P632" s="3">
        <v>8</v>
      </c>
      <c r="Q632" s="3">
        <v>12769.38768</v>
      </c>
      <c r="R632" s="3">
        <f t="shared" si="45"/>
        <v>6456.88</v>
      </c>
      <c r="S632" s="3">
        <v>6312.5076799999997</v>
      </c>
      <c r="T632" s="3">
        <f t="shared" si="46"/>
        <v>0.49434693645388639</v>
      </c>
      <c r="U632" s="3" t="str">
        <f t="shared" si="47"/>
        <v>Nov-2023</v>
      </c>
      <c r="AB632" s="3">
        <f t="shared" si="48"/>
        <v>6456.88</v>
      </c>
      <c r="AC632" s="3">
        <f t="shared" si="49"/>
        <v>12769.38768</v>
      </c>
    </row>
    <row r="633" spans="1:29" x14ac:dyDescent="0.35">
      <c r="A633" s="3" t="s">
        <v>645</v>
      </c>
      <c r="B633" s="4">
        <v>45716</v>
      </c>
      <c r="C633" s="4">
        <v>45726</v>
      </c>
      <c r="D633" s="5">
        <v>10</v>
      </c>
      <c r="E633" s="3" t="s">
        <v>647</v>
      </c>
      <c r="F633" s="3" t="s">
        <v>652</v>
      </c>
      <c r="G633" s="3" t="s">
        <v>666</v>
      </c>
      <c r="H633" s="3" t="s">
        <v>702</v>
      </c>
      <c r="I633" s="3" t="s">
        <v>710</v>
      </c>
      <c r="J633" s="3" t="s">
        <v>725</v>
      </c>
      <c r="K633" s="3" t="s">
        <v>731</v>
      </c>
      <c r="L633" s="3" t="s">
        <v>1363</v>
      </c>
      <c r="M633" s="3">
        <v>51.86</v>
      </c>
      <c r="N633" s="3">
        <v>45.98</v>
      </c>
      <c r="O633" s="3">
        <v>0.17299999999999999</v>
      </c>
      <c r="P633" s="3">
        <v>7</v>
      </c>
      <c r="Q633" s="3">
        <v>266.17821999999995</v>
      </c>
      <c r="R633" s="3">
        <f t="shared" si="45"/>
        <v>363.02</v>
      </c>
      <c r="S633" s="3">
        <v>96.841780000000028</v>
      </c>
      <c r="T633" s="3">
        <f t="shared" si="46"/>
        <v>0.3638230806412337</v>
      </c>
      <c r="U633" s="3" t="str">
        <f t="shared" si="47"/>
        <v>Feb-2025</v>
      </c>
      <c r="AB633" s="3">
        <f t="shared" si="48"/>
        <v>363.02</v>
      </c>
      <c r="AC633" s="3">
        <f t="shared" si="49"/>
        <v>266.17821999999995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3EE84-9954-4289-97E2-B14818E6FBCA}">
  <dimension ref="A3:AI29"/>
  <sheetViews>
    <sheetView workbookViewId="0">
      <selection activeCell="F9" sqref="F9"/>
    </sheetView>
  </sheetViews>
  <sheetFormatPr defaultRowHeight="15" x14ac:dyDescent="0.25"/>
  <cols>
    <col min="1" max="1" width="13.140625" bestFit="1" customWidth="1"/>
    <col min="2" max="2" width="20.7109375" bestFit="1" customWidth="1"/>
    <col min="3" max="5" width="12" bestFit="1" customWidth="1"/>
    <col min="6" max="6" width="17.85546875" bestFit="1" customWidth="1"/>
    <col min="7" max="7" width="12" bestFit="1" customWidth="1"/>
    <col min="8" max="8" width="15.42578125" bestFit="1" customWidth="1"/>
    <col min="9" max="9" width="17.85546875" bestFit="1" customWidth="1"/>
    <col min="10" max="14" width="12" bestFit="1" customWidth="1"/>
    <col min="15" max="15" width="18.28515625" bestFit="1" customWidth="1"/>
    <col min="16" max="20" width="12" bestFit="1" customWidth="1"/>
    <col min="21" max="21" width="11" bestFit="1" customWidth="1"/>
    <col min="22" max="24" width="12" bestFit="1" customWidth="1"/>
    <col min="25" max="25" width="11" bestFit="1" customWidth="1"/>
    <col min="26" max="30" width="12" bestFit="1" customWidth="1"/>
    <col min="31" max="31" width="11" bestFit="1" customWidth="1"/>
    <col min="32" max="35" width="12" bestFit="1" customWidth="1"/>
    <col min="36" max="66" width="20.7109375" bestFit="1" customWidth="1"/>
    <col min="67" max="67" width="25.85546875" bestFit="1" customWidth="1"/>
    <col min="68" max="68" width="18.140625" bestFit="1" customWidth="1"/>
  </cols>
  <sheetData>
    <row r="3" spans="1:35" x14ac:dyDescent="0.25">
      <c r="B3" s="8" t="s">
        <v>1435</v>
      </c>
    </row>
    <row r="4" spans="1:35" x14ac:dyDescent="0.25">
      <c r="B4" t="s">
        <v>1436</v>
      </c>
      <c r="C4" t="s">
        <v>1437</v>
      </c>
      <c r="D4" t="s">
        <v>1438</v>
      </c>
      <c r="E4" t="s">
        <v>1439</v>
      </c>
      <c r="F4" t="s">
        <v>1440</v>
      </c>
      <c r="G4" t="s">
        <v>1441</v>
      </c>
      <c r="H4" t="s">
        <v>1442</v>
      </c>
      <c r="I4" t="s">
        <v>1443</v>
      </c>
      <c r="J4" t="s">
        <v>1444</v>
      </c>
      <c r="K4" t="s">
        <v>1445</v>
      </c>
      <c r="L4" t="s">
        <v>1446</v>
      </c>
      <c r="M4" t="s">
        <v>1447</v>
      </c>
      <c r="N4" t="s">
        <v>1448</v>
      </c>
      <c r="O4" t="s">
        <v>1449</v>
      </c>
      <c r="P4" t="s">
        <v>1450</v>
      </c>
      <c r="Q4" t="s">
        <v>1451</v>
      </c>
      <c r="R4" t="s">
        <v>1452</v>
      </c>
      <c r="S4" t="s">
        <v>1453</v>
      </c>
      <c r="T4" t="s">
        <v>1454</v>
      </c>
      <c r="U4" t="s">
        <v>1455</v>
      </c>
      <c r="V4" t="s">
        <v>1456</v>
      </c>
      <c r="W4" t="s">
        <v>1457</v>
      </c>
      <c r="X4" t="s">
        <v>1458</v>
      </c>
      <c r="Y4" t="s">
        <v>1459</v>
      </c>
      <c r="Z4" t="s">
        <v>1460</v>
      </c>
      <c r="AA4" t="s">
        <v>1461</v>
      </c>
      <c r="AB4" t="s">
        <v>1462</v>
      </c>
      <c r="AC4" t="s">
        <v>1463</v>
      </c>
      <c r="AD4" t="s">
        <v>1464</v>
      </c>
      <c r="AE4" t="s">
        <v>1465</v>
      </c>
      <c r="AF4" t="s">
        <v>1466</v>
      </c>
      <c r="AG4" t="s">
        <v>1467</v>
      </c>
      <c r="AH4" t="s">
        <v>1468</v>
      </c>
      <c r="AI4" t="s">
        <v>1469</v>
      </c>
    </row>
    <row r="5" spans="1:35" x14ac:dyDescent="0.25">
      <c r="A5" t="s">
        <v>1470</v>
      </c>
      <c r="B5" s="9">
        <v>371604.58273999998</v>
      </c>
      <c r="C5" s="9">
        <v>239506.82714000004</v>
      </c>
      <c r="D5" s="9">
        <v>336135.16749999998</v>
      </c>
      <c r="E5" s="9">
        <v>339044.67039000004</v>
      </c>
      <c r="F5" s="9">
        <v>383755.4196599999</v>
      </c>
      <c r="G5" s="9">
        <v>366808.72249999997</v>
      </c>
      <c r="H5" s="9">
        <v>382101.36680000002</v>
      </c>
      <c r="I5" s="9">
        <v>354378.93716000003</v>
      </c>
      <c r="J5" s="9">
        <v>433788.64049000002</v>
      </c>
      <c r="K5" s="9">
        <v>307793.71461999998</v>
      </c>
      <c r="L5" s="9">
        <v>221608.49786999999</v>
      </c>
      <c r="M5" s="9">
        <v>178642.73714999997</v>
      </c>
      <c r="N5" s="9">
        <v>299100.37307999999</v>
      </c>
      <c r="O5" s="9">
        <v>223498.20032000003</v>
      </c>
      <c r="P5" s="9">
        <v>550462.84643999999</v>
      </c>
      <c r="Q5" s="9">
        <v>275628.61962999997</v>
      </c>
      <c r="R5" s="9">
        <v>486970.83348000003</v>
      </c>
      <c r="S5" s="9">
        <v>236474.06157000002</v>
      </c>
      <c r="T5" s="9">
        <v>634490.72337999998</v>
      </c>
      <c r="U5" s="9">
        <v>382009.37596000009</v>
      </c>
      <c r="V5" s="9">
        <v>215576.67437999998</v>
      </c>
      <c r="W5" s="9">
        <v>374300.10981000005</v>
      </c>
      <c r="X5" s="9">
        <v>209101.52076000004</v>
      </c>
      <c r="Y5" s="9">
        <v>469902.36901999998</v>
      </c>
      <c r="Z5" s="9">
        <v>416985.76567000011</v>
      </c>
      <c r="AA5" s="9">
        <v>375285.78266000003</v>
      </c>
      <c r="AB5" s="9">
        <v>127009.5058</v>
      </c>
      <c r="AC5" s="9">
        <v>416944.18554999994</v>
      </c>
      <c r="AD5" s="9">
        <v>241851.10650000002</v>
      </c>
      <c r="AE5" s="9">
        <v>416924.94901000004</v>
      </c>
      <c r="AF5" s="9">
        <v>141266.51418999999</v>
      </c>
      <c r="AG5" s="9">
        <v>347613.18767000007</v>
      </c>
      <c r="AH5" s="9">
        <v>172279.72760000001</v>
      </c>
      <c r="AI5" s="9">
        <v>10928845.716499999</v>
      </c>
    </row>
    <row r="9" spans="1:35" x14ac:dyDescent="0.25">
      <c r="A9" s="8" t="s">
        <v>1471</v>
      </c>
      <c r="B9" t="s">
        <v>1470</v>
      </c>
      <c r="E9" s="8" t="s">
        <v>1471</v>
      </c>
      <c r="F9" t="s">
        <v>1472</v>
      </c>
      <c r="H9" s="8" t="s">
        <v>1471</v>
      </c>
      <c r="I9" t="s">
        <v>1473</v>
      </c>
    </row>
    <row r="10" spans="1:35" x14ac:dyDescent="0.25">
      <c r="A10" s="10" t="s">
        <v>646</v>
      </c>
      <c r="B10" s="9">
        <v>2597635.8415000006</v>
      </c>
      <c r="E10" s="10" t="s">
        <v>655</v>
      </c>
      <c r="F10" s="9">
        <v>390688.76450000011</v>
      </c>
      <c r="H10" s="10" t="s">
        <v>720</v>
      </c>
      <c r="I10" s="9">
        <v>0.34300000000000003</v>
      </c>
    </row>
    <row r="11" spans="1:35" x14ac:dyDescent="0.25">
      <c r="A11" s="10" t="s">
        <v>648</v>
      </c>
      <c r="B11" s="9">
        <v>2688750.0213399995</v>
      </c>
      <c r="E11" s="10" t="s">
        <v>653</v>
      </c>
      <c r="F11" s="9">
        <v>321603.48432000011</v>
      </c>
      <c r="H11" s="10" t="s">
        <v>717</v>
      </c>
      <c r="I11" s="9">
        <v>0.24299999999999999</v>
      </c>
    </row>
    <row r="12" spans="1:35" x14ac:dyDescent="0.25">
      <c r="A12" s="10" t="s">
        <v>647</v>
      </c>
      <c r="B12" s="9">
        <v>2841471.9176500016</v>
      </c>
      <c r="E12" s="10" t="s">
        <v>659</v>
      </c>
      <c r="F12" s="9">
        <v>327370.14363000006</v>
      </c>
      <c r="H12" s="10" t="s">
        <v>712</v>
      </c>
      <c r="I12" s="9">
        <v>0.35699999999999998</v>
      </c>
    </row>
    <row r="13" spans="1:35" x14ac:dyDescent="0.25">
      <c r="A13" s="10" t="s">
        <v>649</v>
      </c>
      <c r="B13" s="9">
        <v>2800987.9360100003</v>
      </c>
      <c r="E13" s="10" t="s">
        <v>657</v>
      </c>
      <c r="F13" s="9">
        <v>322245.16477000003</v>
      </c>
      <c r="H13" s="10" t="s">
        <v>726</v>
      </c>
      <c r="I13" s="9">
        <v>0.29199999999999998</v>
      </c>
    </row>
    <row r="14" spans="1:35" x14ac:dyDescent="0.25">
      <c r="A14" s="10" t="s">
        <v>1469</v>
      </c>
      <c r="B14" s="9">
        <v>10928845.716500003</v>
      </c>
      <c r="E14" s="10" t="s">
        <v>656</v>
      </c>
      <c r="F14" s="9">
        <v>340188.29118</v>
      </c>
      <c r="H14" s="10" t="s">
        <v>718</v>
      </c>
      <c r="I14" s="9">
        <v>0.25</v>
      </c>
    </row>
    <row r="15" spans="1:35" x14ac:dyDescent="0.25">
      <c r="E15" s="10" t="s">
        <v>654</v>
      </c>
      <c r="F15" s="9">
        <v>383057.00934000016</v>
      </c>
      <c r="H15" s="10" t="s">
        <v>721</v>
      </c>
      <c r="I15" s="9">
        <v>0.26100000000000001</v>
      </c>
    </row>
    <row r="16" spans="1:35" x14ac:dyDescent="0.25">
      <c r="E16" s="10" t="s">
        <v>652</v>
      </c>
      <c r="F16" s="9">
        <v>290576.29456000001</v>
      </c>
      <c r="H16" s="10" t="s">
        <v>715</v>
      </c>
      <c r="I16" s="9">
        <v>0.28199999999999997</v>
      </c>
    </row>
    <row r="17" spans="1:9" x14ac:dyDescent="0.25">
      <c r="E17" s="10" t="s">
        <v>650</v>
      </c>
      <c r="F17" s="9">
        <v>329558.74558999989</v>
      </c>
      <c r="H17" s="10" t="s">
        <v>722</v>
      </c>
      <c r="I17" s="9">
        <v>0.318</v>
      </c>
    </row>
    <row r="18" spans="1:9" x14ac:dyDescent="0.25">
      <c r="A18" s="8" t="s">
        <v>1471</v>
      </c>
      <c r="B18" t="s">
        <v>1470</v>
      </c>
      <c r="E18" s="10" t="s">
        <v>651</v>
      </c>
      <c r="F18" s="9">
        <v>333805.75657000003</v>
      </c>
      <c r="H18" s="10" t="s">
        <v>714</v>
      </c>
      <c r="I18" s="9">
        <v>0.254</v>
      </c>
    </row>
    <row r="19" spans="1:9" x14ac:dyDescent="0.25">
      <c r="A19" s="10" t="s">
        <v>1198</v>
      </c>
      <c r="B19" s="9">
        <v>84136.119600000005</v>
      </c>
      <c r="E19" s="10" t="s">
        <v>661</v>
      </c>
      <c r="F19" s="9">
        <v>303306.15601999999</v>
      </c>
      <c r="H19" s="10" t="s">
        <v>713</v>
      </c>
      <c r="I19" s="9">
        <v>0.29299999999999998</v>
      </c>
    </row>
    <row r="20" spans="1:9" x14ac:dyDescent="0.25">
      <c r="A20" s="10" t="s">
        <v>971</v>
      </c>
      <c r="B20" s="9">
        <v>139277.83032000001</v>
      </c>
      <c r="E20" s="10" t="s">
        <v>658</v>
      </c>
      <c r="F20" s="9">
        <v>454065.02064000012</v>
      </c>
      <c r="H20" s="10" t="s">
        <v>723</v>
      </c>
      <c r="I20" s="9">
        <v>0.27200000000000002</v>
      </c>
    </row>
    <row r="21" spans="1:9" x14ac:dyDescent="0.25">
      <c r="A21" s="10" t="s">
        <v>1096</v>
      </c>
      <c r="B21" s="9">
        <v>82514.711519999997</v>
      </c>
      <c r="E21" s="10" t="s">
        <v>660</v>
      </c>
      <c r="F21" s="9">
        <v>246270.14577999999</v>
      </c>
      <c r="H21" s="10" t="s">
        <v>716</v>
      </c>
      <c r="I21" s="9">
        <v>0.34599999999999997</v>
      </c>
    </row>
    <row r="22" spans="1:9" x14ac:dyDescent="0.25">
      <c r="A22" s="10" t="s">
        <v>1155</v>
      </c>
      <c r="B22" s="9">
        <v>102122.94203999999</v>
      </c>
      <c r="E22" s="10" t="s">
        <v>1469</v>
      </c>
      <c r="F22" s="9">
        <v>4042734.9769000006</v>
      </c>
      <c r="H22" s="10" t="s">
        <v>724</v>
      </c>
      <c r="I22" s="9">
        <v>0.56499999999999995</v>
      </c>
    </row>
    <row r="23" spans="1:9" x14ac:dyDescent="0.25">
      <c r="A23" s="10" t="s">
        <v>874</v>
      </c>
      <c r="B23" s="9">
        <v>87404.929919999995</v>
      </c>
      <c r="H23" s="10" t="s">
        <v>725</v>
      </c>
      <c r="I23" s="9">
        <v>0.254</v>
      </c>
    </row>
    <row r="24" spans="1:9" x14ac:dyDescent="0.25">
      <c r="A24" s="10" t="s">
        <v>899</v>
      </c>
      <c r="B24" s="9">
        <v>85637.740319999997</v>
      </c>
      <c r="H24" s="10" t="s">
        <v>719</v>
      </c>
      <c r="I24" s="9">
        <v>0.29499999999999998</v>
      </c>
    </row>
    <row r="25" spans="1:9" x14ac:dyDescent="0.25">
      <c r="A25" s="10" t="s">
        <v>909</v>
      </c>
      <c r="B25" s="9">
        <v>92715.25</v>
      </c>
      <c r="H25" s="10" t="s">
        <v>1422</v>
      </c>
      <c r="I25" s="9">
        <v>0.29899999999999999</v>
      </c>
    </row>
    <row r="26" spans="1:9" x14ac:dyDescent="0.25">
      <c r="A26" s="10" t="s">
        <v>781</v>
      </c>
      <c r="B26" s="9">
        <v>109244</v>
      </c>
      <c r="H26" s="10" t="s">
        <v>1469</v>
      </c>
      <c r="I26" s="9">
        <v>0.56499999999999995</v>
      </c>
    </row>
    <row r="27" spans="1:9" x14ac:dyDescent="0.25">
      <c r="A27" s="10" t="s">
        <v>1010</v>
      </c>
      <c r="B27" s="9">
        <v>79548.755999999994</v>
      </c>
    </row>
    <row r="28" spans="1:9" x14ac:dyDescent="0.25">
      <c r="A28" s="10" t="s">
        <v>1345</v>
      </c>
      <c r="B28" s="9">
        <v>82141.339799999987</v>
      </c>
    </row>
    <row r="29" spans="1:9" x14ac:dyDescent="0.25">
      <c r="A29" s="10" t="s">
        <v>1469</v>
      </c>
      <c r="B29" s="9">
        <v>944743.61951999995</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AA918-68C3-4899-A284-19F9C5E8657C}">
  <dimension ref="A1"/>
  <sheetViews>
    <sheetView workbookViewId="0">
      <selection activeCell="V8" sqref="V8"/>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workbookViewId="0">
      <selection sqref="A1:XFD1048576"/>
    </sheetView>
  </sheetViews>
  <sheetFormatPr defaultRowHeight="15" x14ac:dyDescent="0.25"/>
  <sheetData>
    <row r="1" spans="1:1" x14ac:dyDescent="0.25">
      <c r="A1" s="1" t="s">
        <v>1364</v>
      </c>
    </row>
    <row r="2" spans="1:1" x14ac:dyDescent="0.25">
      <c r="A2" t="s">
        <v>1365</v>
      </c>
    </row>
    <row r="4" spans="1:1" x14ac:dyDescent="0.25">
      <c r="A4" t="s">
        <v>1366</v>
      </c>
    </row>
    <row r="5" spans="1:1" x14ac:dyDescent="0.25">
      <c r="A5" t="s">
        <v>1367</v>
      </c>
    </row>
    <row r="6" spans="1:1" x14ac:dyDescent="0.25">
      <c r="A6" t="s">
        <v>1368</v>
      </c>
    </row>
    <row r="8" spans="1:1" x14ac:dyDescent="0.25">
      <c r="A8" t="s">
        <v>1369</v>
      </c>
    </row>
    <row r="9" spans="1:1" x14ac:dyDescent="0.25">
      <c r="A9" t="s">
        <v>1370</v>
      </c>
    </row>
    <row r="10" spans="1:1" x14ac:dyDescent="0.25">
      <c r="A10" t="s">
        <v>1371</v>
      </c>
    </row>
    <row r="11" spans="1:1" x14ac:dyDescent="0.25">
      <c r="A11" t="s">
        <v>1372</v>
      </c>
    </row>
    <row r="12" spans="1:1" x14ac:dyDescent="0.25">
      <c r="A12" t="s">
        <v>1373</v>
      </c>
    </row>
    <row r="13" spans="1:1" x14ac:dyDescent="0.25">
      <c r="A13" t="s">
        <v>1374</v>
      </c>
    </row>
    <row r="14" spans="1:1" x14ac:dyDescent="0.25">
      <c r="A14" t="s">
        <v>1375</v>
      </c>
    </row>
    <row r="15" spans="1:1" x14ac:dyDescent="0.25">
      <c r="A15" t="s">
        <v>1376</v>
      </c>
    </row>
    <row r="17" spans="1:1" x14ac:dyDescent="0.25">
      <c r="A17" t="s">
        <v>1377</v>
      </c>
    </row>
    <row r="18" spans="1:1" x14ac:dyDescent="0.25">
      <c r="A18" t="s">
        <v>1378</v>
      </c>
    </row>
    <row r="19" spans="1:1" x14ac:dyDescent="0.25">
      <c r="A19" t="s">
        <v>1379</v>
      </c>
    </row>
    <row r="20" spans="1:1" x14ac:dyDescent="0.25">
      <c r="A20" t="s">
        <v>1380</v>
      </c>
    </row>
    <row r="21" spans="1:1" x14ac:dyDescent="0.25">
      <c r="A21" t="s">
        <v>1381</v>
      </c>
    </row>
    <row r="23" spans="1:1" x14ac:dyDescent="0.25">
      <c r="A23" t="s">
        <v>1382</v>
      </c>
    </row>
    <row r="24" spans="1:1" x14ac:dyDescent="0.25">
      <c r="A24" t="s">
        <v>1383</v>
      </c>
    </row>
    <row r="25" spans="1:1" x14ac:dyDescent="0.25">
      <c r="A25" t="s">
        <v>1384</v>
      </c>
    </row>
    <row r="26" spans="1:1" x14ac:dyDescent="0.25">
      <c r="A26" t="s">
        <v>1385</v>
      </c>
    </row>
    <row r="27" spans="1:1" x14ac:dyDescent="0.25">
      <c r="A27" t="s">
        <v>1386</v>
      </c>
    </row>
    <row r="29" spans="1:1" x14ac:dyDescent="0.25">
      <c r="A29" t="s">
        <v>1387</v>
      </c>
    </row>
    <row r="30" spans="1:1" x14ac:dyDescent="0.25">
      <c r="A30" t="s">
        <v>1388</v>
      </c>
    </row>
    <row r="31" spans="1:1" x14ac:dyDescent="0.25">
      <c r="A31" t="s">
        <v>1389</v>
      </c>
    </row>
    <row r="32" spans="1:1" x14ac:dyDescent="0.25">
      <c r="A32" t="s">
        <v>1390</v>
      </c>
    </row>
    <row r="33" spans="1:1" x14ac:dyDescent="0.25">
      <c r="A33" t="s">
        <v>1391</v>
      </c>
    </row>
    <row r="34" spans="1:1" x14ac:dyDescent="0.25">
      <c r="A34" t="s">
        <v>1392</v>
      </c>
    </row>
    <row r="35" spans="1:1" x14ac:dyDescent="0.25">
      <c r="A35" t="s">
        <v>1393</v>
      </c>
    </row>
    <row r="36" spans="1:1" x14ac:dyDescent="0.25">
      <c r="A36" t="s">
        <v>1394</v>
      </c>
    </row>
    <row r="37" spans="1:1" x14ac:dyDescent="0.25">
      <c r="A37" t="s">
        <v>1395</v>
      </c>
    </row>
    <row r="38" spans="1:1" x14ac:dyDescent="0.25">
      <c r="A38" t="s">
        <v>1396</v>
      </c>
    </row>
    <row r="39" spans="1:1" x14ac:dyDescent="0.25">
      <c r="A39" t="s">
        <v>1397</v>
      </c>
    </row>
    <row r="40" spans="1:1" x14ac:dyDescent="0.25">
      <c r="A40" t="s">
        <v>1398</v>
      </c>
    </row>
    <row r="41" spans="1:1" x14ac:dyDescent="0.25">
      <c r="A41" t="s">
        <v>1399</v>
      </c>
    </row>
    <row r="43" spans="1:1" x14ac:dyDescent="0.25">
      <c r="A43" t="s">
        <v>1400</v>
      </c>
    </row>
    <row r="44" spans="1:1" x14ac:dyDescent="0.25">
      <c r="A44" t="s">
        <v>1401</v>
      </c>
    </row>
    <row r="45" spans="1:1" x14ac:dyDescent="0.25">
      <c r="A45" t="s">
        <v>1402</v>
      </c>
    </row>
    <row r="46" spans="1:1" x14ac:dyDescent="0.25">
      <c r="A46" t="s">
        <v>1403</v>
      </c>
    </row>
    <row r="47" spans="1:1" x14ac:dyDescent="0.25">
      <c r="A47" t="s">
        <v>1404</v>
      </c>
    </row>
    <row r="48" spans="1:1" x14ac:dyDescent="0.25">
      <c r="A48" t="s">
        <v>1405</v>
      </c>
    </row>
    <row r="50" spans="1:1" x14ac:dyDescent="0.25">
      <c r="A50" t="s">
        <v>1406</v>
      </c>
    </row>
    <row r="51" spans="1:1" x14ac:dyDescent="0.25">
      <c r="A51" t="s">
        <v>1407</v>
      </c>
    </row>
    <row r="52" spans="1:1" x14ac:dyDescent="0.25">
      <c r="A52" t="s">
        <v>1408</v>
      </c>
    </row>
    <row r="53" spans="1:1" x14ac:dyDescent="0.25">
      <c r="A53" t="s">
        <v>1409</v>
      </c>
    </row>
    <row r="54" spans="1:1" x14ac:dyDescent="0.25">
      <c r="A54" t="s">
        <v>1410</v>
      </c>
    </row>
    <row r="55" spans="1:1" x14ac:dyDescent="0.25">
      <c r="A55" t="s">
        <v>1411</v>
      </c>
    </row>
    <row r="56" spans="1:1" x14ac:dyDescent="0.25">
      <c r="A56" t="s">
        <v>1412</v>
      </c>
    </row>
    <row r="57" spans="1:1" x14ac:dyDescent="0.25">
      <c r="A57" t="s">
        <v>1413</v>
      </c>
    </row>
    <row r="58" spans="1:1" x14ac:dyDescent="0.25">
      <c r="A58" t="s">
        <v>1414</v>
      </c>
    </row>
    <row r="59" spans="1:1" x14ac:dyDescent="0.25">
      <c r="A59" t="s">
        <v>1415</v>
      </c>
    </row>
    <row r="61" spans="1:1" x14ac:dyDescent="0.25">
      <c r="A61" t="s">
        <v>1416</v>
      </c>
    </row>
    <row r="62" spans="1:1" x14ac:dyDescent="0.25">
      <c r="A62" t="s">
        <v>1417</v>
      </c>
    </row>
    <row r="64" spans="1:1" x14ac:dyDescent="0.25">
      <c r="A64" t="s">
        <v>1418</v>
      </c>
    </row>
    <row r="65" spans="1:1" x14ac:dyDescent="0.25">
      <c r="A65" t="s">
        <v>1419</v>
      </c>
    </row>
    <row r="66" spans="1:1" x14ac:dyDescent="0.25">
      <c r="A66" t="s">
        <v>1420</v>
      </c>
    </row>
    <row r="67" spans="1:1" x14ac:dyDescent="0.25">
      <c r="A67" t="s">
        <v>1421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Data</vt:lpstr>
      <vt:lpstr>DashBoard Calculations</vt:lpstr>
      <vt:lpstr>Final Dashboard</vt:lpstr>
      <vt:lpstr>Brief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Daily Punch</cp:lastModifiedBy>
  <dcterms:created xsi:type="dcterms:W3CDTF">2025-09-28T10:49:35Z</dcterms:created>
  <dcterms:modified xsi:type="dcterms:W3CDTF">2026-01-25T22:35:56Z</dcterms:modified>
</cp:coreProperties>
</file>